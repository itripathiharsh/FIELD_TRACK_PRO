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Lenovo\Desktop\CE SGRG DATA\"/>
    </mc:Choice>
  </mc:AlternateContent>
  <xr:revisionPtr revIDLastSave="0" documentId="8_{344EEEC0-2204-4944-A831-45368B557866}" xr6:coauthVersionLast="47" xr6:coauthVersionMax="47" xr10:uidLastSave="{00000000-0000-0000-0000-000000000000}"/>
  <bookViews>
    <workbookView xWindow="-120" yWindow="-120" windowWidth="29040" windowHeight="15720" xr2:uid="{284879B8-1C0B-4084-B79B-F1C0089163A6}"/>
  </bookViews>
  <sheets>
    <sheet name="Sheet1" sheetId="1" r:id="rId1"/>
    <sheet name="Sheet2" sheetId="2" r:id="rId2"/>
  </sheets>
  <definedNames>
    <definedName name="_xlnm._FilterDatabase" localSheetId="0" hidden="1">Sheet1!$A$3:$M$3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1" i="1" l="1"/>
  <c r="M2" i="1" l="1"/>
  <c r="G2" i="1"/>
  <c r="F2" i="1"/>
  <c r="K2" i="1"/>
  <c r="L2" i="1"/>
  <c r="J2" i="1"/>
  <c r="I2" i="1"/>
  <c r="H2" i="1"/>
  <c r="E2" i="1"/>
  <c r="C2" i="1"/>
  <c r="D2" i="1"/>
</calcChain>
</file>

<file path=xl/sharedStrings.xml><?xml version="1.0" encoding="utf-8"?>
<sst xmlns="http://schemas.openxmlformats.org/spreadsheetml/2006/main" count="641" uniqueCount="370">
  <si>
    <t>Date-:</t>
  </si>
  <si>
    <t>Total</t>
  </si>
  <si>
    <t>DMS Code</t>
  </si>
  <si>
    <t>OUTLET_NAME</t>
  </si>
  <si>
    <t>FOS_Name</t>
  </si>
  <si>
    <t>MARKET_OS</t>
  </si>
  <si>
    <t>Anurag Electronices (ZBR)</t>
  </si>
  <si>
    <t>Apollo Electronics (ZBR)</t>
  </si>
  <si>
    <t>Baba Baijnath Enterprises (ZEB)</t>
  </si>
  <si>
    <t>Calcutta Electronic Lalganj Azamgarh (ZBR)</t>
  </si>
  <si>
    <t>Chaurasia Electronics (ZEB)</t>
  </si>
  <si>
    <t>Eagle Electronics  (ZBR)</t>
  </si>
  <si>
    <t>Honey Electronics (ZBR)</t>
  </si>
  <si>
    <t>Krishna Furniture and Sales (ZBR)</t>
  </si>
  <si>
    <t>Kumar Tv Agencies (ZBR)</t>
  </si>
  <si>
    <t>Maa Kali Enterprises (ZBR)</t>
  </si>
  <si>
    <t>Mohan Telecom (ZBR)</t>
  </si>
  <si>
    <t>New Lotus Electronics (ZBR)</t>
  </si>
  <si>
    <t>Noor Enterprises  (ZBR)</t>
  </si>
  <si>
    <t>Prakash &amp; Sons (ZBR)</t>
  </si>
  <si>
    <t>Rajkumar and Company (ZBR)</t>
  </si>
  <si>
    <t>Rinku Electricals  (ZBR)</t>
  </si>
  <si>
    <t>Sanjay Electronics (ZBR)</t>
  </si>
  <si>
    <t>SHRI BALA JI ELECTRONICS (ZBR)</t>
  </si>
  <si>
    <t>Soni Electronics (ZBR)</t>
  </si>
  <si>
    <t>Sun Shine Communication (ZBR)</t>
  </si>
  <si>
    <t>Mahamaya Mega Mart (ZBR)</t>
  </si>
  <si>
    <t>New Pathak T.V. &amp; Electronics (ZBR)</t>
  </si>
  <si>
    <t>New Shiv Electronics (ZBR)</t>
  </si>
  <si>
    <t>Rishabh Refrigeration (ZBR)</t>
  </si>
  <si>
    <t>Shree Bhagwati Telecom (ZBR)</t>
  </si>
  <si>
    <t>Star Gallery (ZBR)</t>
  </si>
  <si>
    <t>Z1 ELECTRONICS (ZBR)</t>
  </si>
  <si>
    <t>Maa Gayatri Enterprises (ZBR)</t>
  </si>
  <si>
    <t>R.K. Enterprises (ZBR)</t>
  </si>
  <si>
    <t>Krishna Enterprises (ZBR)</t>
  </si>
  <si>
    <t>Alok Telecom (ZBR)</t>
  </si>
  <si>
    <t>Awasthi Traders (ZBR)</t>
  </si>
  <si>
    <t>B.R.S Telecom Electronics (ZBR)</t>
  </si>
  <si>
    <t>Fiza Telecom (ZBR)</t>
  </si>
  <si>
    <t>Ganpati Communcation (ZBR)</t>
  </si>
  <si>
    <t>Nitin Enterprises (ZBR)</t>
  </si>
  <si>
    <t>Sarveshwari Mobile &amp; Communication (ZBR)</t>
  </si>
  <si>
    <t>Shiv Telecom &amp; Card Marriage (ZBR)</t>
  </si>
  <si>
    <t>Telephone Point (ZBR)</t>
  </si>
  <si>
    <t>ZONE</t>
  </si>
  <si>
    <t>AREA</t>
  </si>
  <si>
    <t>Gorakhpur</t>
  </si>
  <si>
    <t>Jitendra</t>
  </si>
  <si>
    <t>Prayagraj</t>
  </si>
  <si>
    <t>Unnao</t>
  </si>
  <si>
    <t>Yogesh</t>
  </si>
  <si>
    <t>Kanpur Nagar</t>
  </si>
  <si>
    <t>Rawatpur Gaon</t>
  </si>
  <si>
    <t>Varanasi</t>
  </si>
  <si>
    <t>Ghazipur</t>
  </si>
  <si>
    <t>Sahil</t>
  </si>
  <si>
    <t>Govind Nagar</t>
  </si>
  <si>
    <t>Patara</t>
  </si>
  <si>
    <t>Ghatampur</t>
  </si>
  <si>
    <t>Billhaur</t>
  </si>
  <si>
    <t>Lalganj</t>
  </si>
  <si>
    <t>Azamgargh</t>
  </si>
  <si>
    <t>Begam Purwa</t>
  </si>
  <si>
    <t>Nawabganj</t>
  </si>
  <si>
    <t>Souterganj</t>
  </si>
  <si>
    <t>Shyam Nagar</t>
  </si>
  <si>
    <t>Ashok Nagar</t>
  </si>
  <si>
    <t>Mahoba</t>
  </si>
  <si>
    <t>Mahrajpur</t>
  </si>
  <si>
    <t>SGRGZBR395</t>
  </si>
  <si>
    <t>Kalyanpur</t>
  </si>
  <si>
    <t>Araul</t>
  </si>
  <si>
    <t>Kanpur Dehat</t>
  </si>
  <si>
    <t>Uttaripura</t>
  </si>
  <si>
    <t>Mandhana</t>
  </si>
  <si>
    <t>Amit Electronic and Electrical (ZBR)</t>
  </si>
  <si>
    <t>Harsh Electronic (ZBR)</t>
  </si>
  <si>
    <t>Jai Bala Ji Enterprises  (ZBR)</t>
  </si>
  <si>
    <t>New Lucky Telecom (ZBR)</t>
  </si>
  <si>
    <t>New Singh Electronics &amp; Electricals (ZBR)</t>
  </si>
  <si>
    <t>Pihu Electronics (ZBR)</t>
  </si>
  <si>
    <t>Satyam Electronics &amp; Furnitures (ZBR)</t>
  </si>
  <si>
    <t>Shree Bhadoauriya Electronics (ZBR)</t>
  </si>
  <si>
    <t>Sunny Electronics (ZBR)</t>
  </si>
  <si>
    <t>Unisef Marketing (ZBR)</t>
  </si>
  <si>
    <r>
      <t xml:space="preserve">SGRG SERVICES PRIVATE LIMITED,KANPUR &amp; Unnao
</t>
    </r>
    <r>
      <rPr>
        <b/>
        <sz val="28"/>
        <color rgb="FFFF0000"/>
        <rFont val="Aptos Narrow"/>
        <family val="2"/>
        <scheme val="minor"/>
      </rPr>
      <t xml:space="preserve">         OS Zebronics                                                       </t>
    </r>
  </si>
  <si>
    <t>Sangwain</t>
  </si>
  <si>
    <t>Naubasta</t>
  </si>
  <si>
    <t>Karrahi</t>
  </si>
  <si>
    <t>Mau</t>
  </si>
  <si>
    <t>Anandeshwar Electronics (ZBR)</t>
  </si>
  <si>
    <t>Bhola Electronics &amp; Furnitures (ZBR)</t>
  </si>
  <si>
    <t>Chauhan T.V. Center (ZBR)</t>
  </si>
  <si>
    <t>Jai Maa Durga Electronics (ZBR)</t>
  </si>
  <si>
    <t>Jai Shiv Electronics (ZBR)</t>
  </si>
  <si>
    <t>Jbs Digital (ZBR)</t>
  </si>
  <si>
    <t>New Zubeen Electronics (ZBR)</t>
  </si>
  <si>
    <t>R L Radios and Tv Centre (ZBR)</t>
  </si>
  <si>
    <t>Sai Baba Enterprises (ZBR)</t>
  </si>
  <si>
    <t>Trishika International (ZBR)</t>
  </si>
  <si>
    <t>Sapna Electroniocs (ZBR)</t>
  </si>
  <si>
    <t>Sky Electronics &amp; Home Appliances (ZBR)</t>
  </si>
  <si>
    <t>Sunil Kumar Anil Kumar Plyco and Furniture(ZBR)</t>
  </si>
  <si>
    <t>Lucky Sales (ZBR)</t>
  </si>
  <si>
    <t>Shobhit Mobile World Sachendi (ZBR)</t>
  </si>
  <si>
    <t>Baba Yogeshwar Telicom and Electronics Tikra (ZBR)</t>
  </si>
  <si>
    <t>Ex Paramilitary Canteen (ZBR)</t>
  </si>
  <si>
    <t>M/s Fairdeal  Electronics (ZBR)</t>
  </si>
  <si>
    <t>New Vikash Electronics (ZBR)</t>
  </si>
  <si>
    <t>New Vinod Electronics (ZBR)</t>
  </si>
  <si>
    <t>Rudra Mobile Bilhaur (ZBR)</t>
  </si>
  <si>
    <t>Sarthak Electronics &amp; Furniture House (ZBR)</t>
  </si>
  <si>
    <t>Sri Hari Elctranics (ZBR)</t>
  </si>
  <si>
    <t>Farrukhabad</t>
  </si>
  <si>
    <t>Tikona Chauki</t>
  </si>
  <si>
    <t>Etawah</t>
  </si>
  <si>
    <t>Kanpur</t>
  </si>
  <si>
    <t>Koriyan Chauraha</t>
  </si>
  <si>
    <t>Ballia</t>
  </si>
  <si>
    <t>Bharthana</t>
  </si>
  <si>
    <t>Belthara Road</t>
  </si>
  <si>
    <t>Kaji Kheda</t>
  </si>
  <si>
    <t>Ramaipur</t>
  </si>
  <si>
    <t>Jarauli</t>
  </si>
  <si>
    <t>Vijay Nagar</t>
  </si>
  <si>
    <t>Rajendra Nagar</t>
  </si>
  <si>
    <t>Dullahpur</t>
  </si>
  <si>
    <t>Shivpur</t>
  </si>
  <si>
    <t>Harjinder Nagar</t>
  </si>
  <si>
    <t>Bhauti Pratappur</t>
  </si>
  <si>
    <t>Bhadauriya Electronics (ZBR)</t>
  </si>
  <si>
    <t>Sachendi Kanpur</t>
  </si>
  <si>
    <t>D Mobile Company (ZBR)</t>
  </si>
  <si>
    <t>M/s Heera Tele Communication (ZBR)</t>
  </si>
  <si>
    <t>M/s Ravi Electronics and Saur Uraja Kendra (ZBR)</t>
  </si>
  <si>
    <t>Sandeep Telecom (ZBR)</t>
  </si>
  <si>
    <t>Spectra World (ZBR)</t>
  </si>
  <si>
    <t>Trust Me Traders (ZBR)</t>
  </si>
  <si>
    <t>SGRGZBR421</t>
  </si>
  <si>
    <t>-</t>
  </si>
  <si>
    <t>M/s  Kushwaha Electronics and Furniture (ZBR)</t>
  </si>
  <si>
    <t>M/s Om Sai Electronics (ZBR)</t>
  </si>
  <si>
    <t>Apni Dukan (ZBR)</t>
  </si>
  <si>
    <t>Singh Traders (ZBR)</t>
  </si>
  <si>
    <t>Tech Gallery (ZBR)</t>
  </si>
  <si>
    <t>YOGENDRA SINGH</t>
  </si>
  <si>
    <t>Vikas Nagar</t>
  </si>
  <si>
    <t>Office</t>
  </si>
  <si>
    <t>Tikra</t>
  </si>
  <si>
    <t>kanpur</t>
  </si>
  <si>
    <t>Hanspuram</t>
  </si>
  <si>
    <t>Sanigawan</t>
  </si>
  <si>
    <t>(&lt; 15 days )</t>
  </si>
  <si>
    <t>15 to 30 days</t>
  </si>
  <si>
    <t>M/s Vinita Box Centre (ZBR)</t>
  </si>
  <si>
    <t>Rs Tech Enterprises (ZBR)</t>
  </si>
  <si>
    <t>Chaurasia Electric and Electronics (ZBR)</t>
  </si>
  <si>
    <t>Mohit Cellmart &amp; Furniture (ZBR)</t>
  </si>
  <si>
    <t>Future Electronics (ZBR)</t>
  </si>
  <si>
    <t>Ganesh Electronics (ZBR)</t>
  </si>
  <si>
    <t>New Megna Sales (ZBR)</t>
  </si>
  <si>
    <t>Singh Electronics (ZBR)</t>
  </si>
  <si>
    <t>Rania</t>
  </si>
  <si>
    <t>Ratnakar</t>
  </si>
  <si>
    <t>Jaunpur</t>
  </si>
  <si>
    <t>Sushma Electronics (ZBR)</t>
  </si>
  <si>
    <t>Vaishnavi Mobile &amp; Electronics  (ZBR)</t>
  </si>
  <si>
    <t>30 to 45 days</t>
  </si>
  <si>
    <t>45 to 60 days</t>
  </si>
  <si>
    <t>60 to 75 days</t>
  </si>
  <si>
    <t>75 to 90 days</t>
  </si>
  <si>
    <t>Vaishnavi Telecom (ZBR)</t>
  </si>
  <si>
    <t>Kushwaha Sales (ZBR)</t>
  </si>
  <si>
    <t>(&gt; 90 days )</t>
  </si>
  <si>
    <t>Ahuja Electronics (ZBR)</t>
  </si>
  <si>
    <t>Ashish Electricals (ZBR)</t>
  </si>
  <si>
    <t>Ganpati Traders (ZBR)</t>
  </si>
  <si>
    <t>Kalpana Agencies (ZBR)</t>
  </si>
  <si>
    <t>Warsi Electronics (ZBR)</t>
  </si>
  <si>
    <t>Z1 Eletronics (Zbr)</t>
  </si>
  <si>
    <t>New Swami Electroworld (ZBR)</t>
  </si>
  <si>
    <t>SANIGAWAN</t>
  </si>
  <si>
    <t>Jai Narain</t>
  </si>
  <si>
    <t>M/s Raja Radios (ZBR)</t>
  </si>
  <si>
    <t>PANKAJ KUSHWAHA</t>
  </si>
  <si>
    <t>Rampa Electronics (ZBR)</t>
  </si>
  <si>
    <t>SGRGZBR396</t>
  </si>
  <si>
    <t>SGRGZBR397</t>
  </si>
  <si>
    <t>SGRGZBR398</t>
  </si>
  <si>
    <t>SGRGZBR399</t>
  </si>
  <si>
    <t>SGRGZBR400</t>
  </si>
  <si>
    <t>SGRGZBR401</t>
  </si>
  <si>
    <t>SGRGZBR402</t>
  </si>
  <si>
    <t>SGRGZBR403</t>
  </si>
  <si>
    <t>SGRGZBR404</t>
  </si>
  <si>
    <t>SGRGZBR405</t>
  </si>
  <si>
    <t>SGRGZBR406</t>
  </si>
  <si>
    <t>SGRGZBR407</t>
  </si>
  <si>
    <t>SGRGZBR408</t>
  </si>
  <si>
    <t>SGRGZBR409</t>
  </si>
  <si>
    <t>SGRGZBR410</t>
  </si>
  <si>
    <t>SGRGZBR411</t>
  </si>
  <si>
    <t>SGRGZBR412</t>
  </si>
  <si>
    <t>SGRGZBR413</t>
  </si>
  <si>
    <t>SGRGZBR414</t>
  </si>
  <si>
    <t>SGRGZBR415</t>
  </si>
  <si>
    <t>SGRGZBR416</t>
  </si>
  <si>
    <t>SGRGZBR417</t>
  </si>
  <si>
    <t>SGRGZBR418</t>
  </si>
  <si>
    <t>SGRGZBR419</t>
  </si>
  <si>
    <t>SGRGZBR420</t>
  </si>
  <si>
    <t>SGRGZBR422</t>
  </si>
  <si>
    <t>SGRGZBR423</t>
  </si>
  <si>
    <t>SGRGZBR424</t>
  </si>
  <si>
    <t>SGRGZBR425</t>
  </si>
  <si>
    <t>SGRGZBR426</t>
  </si>
  <si>
    <t>SGRGZBR427</t>
  </si>
  <si>
    <t>SGRGZBR428</t>
  </si>
  <si>
    <t>SGRGZBR429</t>
  </si>
  <si>
    <t>SGRGZBR430</t>
  </si>
  <si>
    <t>SGRGZBR431</t>
  </si>
  <si>
    <t>SGRGZBR432</t>
  </si>
  <si>
    <t>SGRGZBR433</t>
  </si>
  <si>
    <t>SGRGZBR434</t>
  </si>
  <si>
    <t>SGRGZBR435</t>
  </si>
  <si>
    <t>SGRGZBR436</t>
  </si>
  <si>
    <t>SGRGZBR437</t>
  </si>
  <si>
    <t>SGRGZBR438</t>
  </si>
  <si>
    <t>SGRGZBR439</t>
  </si>
  <si>
    <t>SGRGZBR440</t>
  </si>
  <si>
    <t>SGRGZBR441</t>
  </si>
  <si>
    <t>SGRGZBR442</t>
  </si>
  <si>
    <t>SGRGZBR443</t>
  </si>
  <si>
    <t>SGRGZBR444</t>
  </si>
  <si>
    <t>SGRGZBR445</t>
  </si>
  <si>
    <t>SGRGZBR446</t>
  </si>
  <si>
    <t>SGRGZBR447</t>
  </si>
  <si>
    <t>SGRGZBR448</t>
  </si>
  <si>
    <t>SGRGZBR449</t>
  </si>
  <si>
    <t>SGRGZBR450</t>
  </si>
  <si>
    <t>SGRGZBR451</t>
  </si>
  <si>
    <t>SGRGZBR452</t>
  </si>
  <si>
    <t>SGRGZBR453</t>
  </si>
  <si>
    <t>SGRGZBR454</t>
  </si>
  <si>
    <t>SGRGZBR455</t>
  </si>
  <si>
    <t>SGRGZBR456</t>
  </si>
  <si>
    <t>SGRGZBR457</t>
  </si>
  <si>
    <t>SGRGZBR458</t>
  </si>
  <si>
    <t>SGRGZBR459</t>
  </si>
  <si>
    <t>SGRGZBR460</t>
  </si>
  <si>
    <t>SGRGZBR461</t>
  </si>
  <si>
    <t>SGRGZBR462</t>
  </si>
  <si>
    <t>SGRGZBR463</t>
  </si>
  <si>
    <t>SGRGZBR464</t>
  </si>
  <si>
    <t>SGRGZBR465</t>
  </si>
  <si>
    <t>SGRGZBR466</t>
  </si>
  <si>
    <t>SGRGZBR467</t>
  </si>
  <si>
    <t>SGRGZBR468</t>
  </si>
  <si>
    <t>SGRGZBR469</t>
  </si>
  <si>
    <t>SGRGZBR470</t>
  </si>
  <si>
    <t>SGRGZBR471</t>
  </si>
  <si>
    <t>SGRGZBR472</t>
  </si>
  <si>
    <t>SGRGZBR473</t>
  </si>
  <si>
    <t>SGRGZBR474</t>
  </si>
  <si>
    <t>SGRGZBR475</t>
  </si>
  <si>
    <t>SGRGZBR476</t>
  </si>
  <si>
    <t>SGRGZBR477</t>
  </si>
  <si>
    <t>SGRGZBR478</t>
  </si>
  <si>
    <t>SGRGZBR479</t>
  </si>
  <si>
    <t>SGRGZBR480</t>
  </si>
  <si>
    <t>SGRGZBR481</t>
  </si>
  <si>
    <t>SGRGZBR482</t>
  </si>
  <si>
    <t>SGRGZBR483</t>
  </si>
  <si>
    <t>SGRGZBR484</t>
  </si>
  <si>
    <t>SGRGZBR485</t>
  </si>
  <si>
    <t>SGRGZBR486</t>
  </si>
  <si>
    <t>SGRGZBR487</t>
  </si>
  <si>
    <t>SGRGZBR488</t>
  </si>
  <si>
    <t>SGRGZBR489</t>
  </si>
  <si>
    <t>SGRGZBR490</t>
  </si>
  <si>
    <t>SGRGZBR491</t>
  </si>
  <si>
    <t>SGRGZBR492</t>
  </si>
  <si>
    <t>SGRGZBR493</t>
  </si>
  <si>
    <t>SGRGZBR494</t>
  </si>
  <si>
    <t>SGRGZBR495</t>
  </si>
  <si>
    <t>SGRGZBR496</t>
  </si>
  <si>
    <t>SGRGZBR497</t>
  </si>
  <si>
    <t>SGRGZBR498</t>
  </si>
  <si>
    <t>SGRGZBR499</t>
  </si>
  <si>
    <t>SGRGZBR500</t>
  </si>
  <si>
    <t>SGRGZBR501</t>
  </si>
  <si>
    <t>SGRGZBR502</t>
  </si>
  <si>
    <t>Asha Mobile Centre (ZBR)</t>
  </si>
  <si>
    <t>Jubair Furniture and Electronics Shop (ZBR)</t>
  </si>
  <si>
    <t>Mobile Hub Sanigawan (ZBR)</t>
  </si>
  <si>
    <t>M/s Jain Electronics (ZBR)</t>
  </si>
  <si>
    <t>New L M Appliances (ZBR)</t>
  </si>
  <si>
    <t>Shree Balaji Electronics (ZBR)</t>
  </si>
  <si>
    <t>New Tomar Furniture and Electronic House (ZBR)</t>
  </si>
  <si>
    <t>Raghav Electronics and Furniture (ZBR)</t>
  </si>
  <si>
    <t>Shri Balaji Electronics 2.0 (ZBR)</t>
  </si>
  <si>
    <t>Shrishti Electronics ( ZBR)</t>
  </si>
  <si>
    <t>Uma Sales (ZBR)</t>
  </si>
  <si>
    <t>Vipin Electronics and Furniture (ZBR)</t>
  </si>
  <si>
    <t>SGRGZBR503</t>
  </si>
  <si>
    <t>SGRGZBR504</t>
  </si>
  <si>
    <t>SGRGZBR505</t>
  </si>
  <si>
    <t>SGRGZBR506</t>
  </si>
  <si>
    <t>SGRGZBR507</t>
  </si>
  <si>
    <t>SGRGZBR508</t>
  </si>
  <si>
    <t>SGRGZBR509</t>
  </si>
  <si>
    <t>SGRGZBR510</t>
  </si>
  <si>
    <t>SGRGZBR511</t>
  </si>
  <si>
    <t>SGRGZBR512</t>
  </si>
  <si>
    <t>SGRGZBR513</t>
  </si>
  <si>
    <t>SGRGZBR514</t>
  </si>
  <si>
    <t>Brajwasi Enterprises (ZBR)</t>
  </si>
  <si>
    <t>Deep Electronics (ZBR)</t>
  </si>
  <si>
    <t>Luxmi Electronics (ZBR)</t>
  </si>
  <si>
    <t>New Gagan Enterprises (ZBR)</t>
  </si>
  <si>
    <t>Om Electricals (ZBR)</t>
  </si>
  <si>
    <t>SGRGZBR515</t>
  </si>
  <si>
    <t>SGRGZBR516</t>
  </si>
  <si>
    <t>SGRGZBR517</t>
  </si>
  <si>
    <t>SGRGZBR518</t>
  </si>
  <si>
    <t>SGRGZBR519</t>
  </si>
  <si>
    <t>MAHARAJPUR</t>
  </si>
  <si>
    <t>NARAYANPURI</t>
  </si>
  <si>
    <t>HANUMANT VIHAR</t>
  </si>
  <si>
    <t>SHIVRAJPUR</t>
  </si>
  <si>
    <t>MOHAMMADABAD GOHANA</t>
  </si>
  <si>
    <t>MAU</t>
  </si>
  <si>
    <t>AMIT</t>
  </si>
  <si>
    <t>LAL BANGLA</t>
  </si>
  <si>
    <t>GOPALPUR</t>
  </si>
  <si>
    <t xml:space="preserve">PURANA </t>
  </si>
  <si>
    <t>FARRUKHABAD</t>
  </si>
  <si>
    <t>KIRANA BAZAR</t>
  </si>
  <si>
    <t>SANIGAWA</t>
  </si>
  <si>
    <t>BARRA</t>
  </si>
  <si>
    <t>RAMAIPUR</t>
  </si>
  <si>
    <t>SARH</t>
  </si>
  <si>
    <t>KANNAUJ</t>
  </si>
  <si>
    <t>TIRWA</t>
  </si>
  <si>
    <t xml:space="preserve">AURAIYA </t>
  </si>
  <si>
    <t>NAVEEN NAGAR</t>
  </si>
  <si>
    <t>Barra-4</t>
  </si>
  <si>
    <t>Ratan LAL Nagar</t>
  </si>
  <si>
    <t>Raunak</t>
  </si>
  <si>
    <t>Yashoda Nagar</t>
  </si>
  <si>
    <t>tikra</t>
  </si>
  <si>
    <t>Jawahar Nagar</t>
  </si>
  <si>
    <t>Azamgarh</t>
  </si>
  <si>
    <t>Victoria Mill</t>
  </si>
  <si>
    <t>Lal Bangla</t>
  </si>
  <si>
    <t>Lajpat Nagar</t>
  </si>
  <si>
    <t>Bithoor</t>
  </si>
  <si>
    <t>Panki</t>
  </si>
  <si>
    <t>Satbari</t>
  </si>
  <si>
    <t>Saket Nagr</t>
  </si>
  <si>
    <t>Babu Purwa</t>
  </si>
  <si>
    <t>Dabouli</t>
  </si>
  <si>
    <t>Birhana Road</t>
  </si>
  <si>
    <t>Hamirpur</t>
  </si>
  <si>
    <t>King Road</t>
  </si>
  <si>
    <t>Musanagar</t>
  </si>
  <si>
    <t>Begum Purwa</t>
  </si>
  <si>
    <t>Karachi Khana</t>
  </si>
  <si>
    <t>Chaubeypur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</si>
</sst>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₹&quot;\ #,##0"/>
    <numFmt numFmtId="165" formatCode="&quot;&quot;0.00"/>
    <numFmt numFmtId="166" formatCode="&quot;&quot;0"/>
  </numFmts>
  <fonts count="12" x14ac:knownFonts="1">
    <font>
      <sz val="11"/>
      <color theme="1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28"/>
      <color theme="1"/>
      <name val="Aptos Narrow"/>
      <family val="2"/>
      <scheme val="minor"/>
    </font>
    <font>
      <b/>
      <sz val="28"/>
      <color rgb="FFFF0000"/>
      <name val="Aptos Narrow"/>
      <family val="2"/>
      <scheme val="minor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i/>
      <sz val="9"/>
      <color theme="1"/>
      <name val="Arial"/>
      <family val="2"/>
    </font>
    <font>
      <b/>
      <i/>
      <sz val="9"/>
      <color theme="1"/>
      <name val="Arial"/>
      <family val="2"/>
    </font>
  </fonts>
  <fills count="6">
    <fill>
      <patternFill patternType="none"/>
    </fill>
    <fill>
      <patternFill patternType="gray125"/>
    </fill>
    <fill>
      <gradientFill type="path" left="0.5" right="0.5" top="0.5" bottom="0.5">
        <stop position="0">
          <color theme="0"/>
        </stop>
        <stop position="1">
          <color rgb="FFFFFF00"/>
        </stop>
      </gradientFill>
    </fill>
    <fill>
      <patternFill patternType="solid">
        <fgColor rgb="FF92D050"/>
        <bgColor indexed="64"/>
      </patternFill>
    </fill>
    <fill>
      <gradientFill type="path" left="0.5" right="0.5" top="0.5" bottom="0.5">
        <stop position="0">
          <color theme="0"/>
        </stop>
        <stop position="1">
          <color theme="7" tint="0.59999389629810485"/>
        </stop>
      </gradientFill>
    </fill>
    <fill>
      <patternFill patternType="solid">
        <fgColor theme="2" tint="-0.249977111117893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3" fillId="4" borderId="5" xfId="0" applyFont="1" applyFill="1" applyBorder="1" applyAlignment="1">
      <alignment horizontal="center" vertical="center" wrapText="1"/>
    </xf>
    <xf numFmtId="164" fontId="2" fillId="4" borderId="5" xfId="0" applyNumberFormat="1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/>
    </xf>
    <xf numFmtId="1" fontId="2" fillId="5" borderId="7" xfId="0" applyNumberFormat="1" applyFont="1" applyFill="1" applyBorder="1" applyAlignment="1">
      <alignment horizontal="center" vertical="center"/>
    </xf>
    <xf numFmtId="0" fontId="4" fillId="0" borderId="8" xfId="0" applyFont="1" applyBorder="1" applyAlignment="1">
      <alignment horizontal="center"/>
    </xf>
    <xf numFmtId="164" fontId="4" fillId="0" borderId="9" xfId="0" applyNumberFormat="1" applyFont="1" applyBorder="1" applyAlignment="1">
      <alignment horizontal="center"/>
    </xf>
    <xf numFmtId="164" fontId="4" fillId="0" borderId="8" xfId="0" applyNumberFormat="1" applyFont="1" applyBorder="1" applyAlignment="1">
      <alignment horizontal="center"/>
    </xf>
    <xf numFmtId="14" fontId="1" fillId="3" borderId="1" xfId="0" applyNumberFormat="1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49" fontId="8" fillId="0" borderId="0" xfId="0" applyNumberFormat="1" applyFont="1" applyAlignment="1">
      <alignment vertical="top"/>
    </xf>
    <xf numFmtId="165" fontId="8" fillId="0" borderId="13" xfId="0" applyNumberFormat="1" applyFont="1" applyBorder="1" applyAlignment="1">
      <alignment horizontal="right" vertical="top"/>
    </xf>
    <xf numFmtId="166" fontId="8" fillId="0" borderId="13" xfId="0" applyNumberFormat="1" applyFont="1" applyBorder="1" applyAlignment="1">
      <alignment horizontal="right" vertical="top"/>
    </xf>
    <xf numFmtId="49" fontId="9" fillId="0" borderId="12" xfId="0" applyNumberFormat="1" applyFont="1" applyBorder="1" applyAlignment="1">
      <alignment horizontal="left" vertical="top" indent="2"/>
    </xf>
    <xf numFmtId="165" fontId="9" fillId="0" borderId="15" xfId="0" applyNumberFormat="1" applyFont="1" applyBorder="1" applyAlignment="1">
      <alignment horizontal="right" vertical="top"/>
    </xf>
    <xf numFmtId="49" fontId="9" fillId="0" borderId="13" xfId="0" applyNumberFormat="1" applyFont="1" applyBorder="1" applyAlignment="1">
      <alignment horizontal="left" vertical="top" indent="2"/>
    </xf>
    <xf numFmtId="49" fontId="8" fillId="0" borderId="0" xfId="0" applyNumberFormat="1" applyFont="1" applyAlignment="1">
      <alignment vertical="top"/>
    </xf>
    <xf numFmtId="165" fontId="8" fillId="0" borderId="14" xfId="0" applyNumberFormat="1" applyFont="1" applyBorder="1" applyAlignment="1">
      <alignment horizontal="right" vertical="top"/>
    </xf>
    <xf numFmtId="166" fontId="10" fillId="0" borderId="14" xfId="0" applyNumberFormat="1" applyFont="1" applyBorder="1" applyAlignment="1">
      <alignment horizontal="right" vertical="top"/>
    </xf>
    <xf numFmtId="166" fontId="8" fillId="0" borderId="14" xfId="0" applyNumberFormat="1" applyFont="1" applyBorder="1" applyAlignment="1">
      <alignment horizontal="right" vertical="top"/>
    </xf>
    <xf numFmtId="165" fontId="10" fillId="0" borderId="14" xfId="0" applyNumberFormat="1" applyFont="1" applyBorder="1" applyAlignment="1">
      <alignment horizontal="right" vertical="top"/>
    </xf>
    <xf numFmtId="165" fontId="8" fillId="0" borderId="13" xfId="0" applyNumberFormat="1" applyFont="1" applyBorder="1" applyAlignment="1">
      <alignment horizontal="right" vertical="top"/>
    </xf>
    <xf numFmtId="166" fontId="10" fillId="0" borderId="13" xfId="0" applyNumberFormat="1" applyFont="1" applyBorder="1" applyAlignment="1">
      <alignment horizontal="right" vertical="top"/>
    </xf>
    <xf numFmtId="166" fontId="8" fillId="0" borderId="13" xfId="0" applyNumberFormat="1" applyFont="1" applyBorder="1" applyAlignment="1">
      <alignment horizontal="right" vertical="top"/>
    </xf>
    <xf numFmtId="165" fontId="10" fillId="0" borderId="13" xfId="0" applyNumberFormat="1" applyFont="1" applyBorder="1" applyAlignment="1">
      <alignment horizontal="right" vertical="top"/>
    </xf>
    <xf numFmtId="49" fontId="9" fillId="0" borderId="12" xfId="0" applyNumberFormat="1" applyFont="1" applyBorder="1" applyAlignment="1">
      <alignment horizontal="left" vertical="top" indent="2"/>
    </xf>
    <xf numFmtId="165" fontId="9" fillId="0" borderId="15" xfId="0" applyNumberFormat="1" applyFont="1" applyBorder="1" applyAlignment="1">
      <alignment horizontal="right" vertical="top"/>
    </xf>
    <xf numFmtId="165" fontId="11" fillId="0" borderId="15" xfId="0" applyNumberFormat="1" applyFont="1" applyBorder="1" applyAlignment="1">
      <alignment horizontal="right" vertical="top"/>
    </xf>
    <xf numFmtId="49" fontId="9" fillId="0" borderId="14" xfId="0" applyNumberFormat="1" applyFont="1" applyBorder="1" applyAlignment="1">
      <alignment horizontal="center" vertical="top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14" fontId="1" fillId="3" borderId="10" xfId="0" applyNumberFormat="1" applyFont="1" applyFill="1" applyBorder="1" applyAlignment="1">
      <alignment horizontal="center" vertical="center"/>
    </xf>
    <xf numFmtId="14" fontId="1" fillId="3" borderId="1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55C41-603B-4A0B-B731-BEC2373482A5}">
  <dimension ref="A1:M128"/>
  <sheetViews>
    <sheetView tabSelected="1" topLeftCell="A2" zoomScale="60" zoomScaleNormal="60" workbookViewId="0">
      <selection activeCell="H2" sqref="H2"/>
    </sheetView>
  </sheetViews>
  <sheetFormatPr defaultRowHeight="15" x14ac:dyDescent="0.25"/>
  <cols>
    <col min="1" max="1" width="22.5703125" bestFit="1" customWidth="1"/>
    <col min="2" max="2" width="77" bestFit="1" customWidth="1"/>
    <col min="3" max="3" width="21" bestFit="1" customWidth="1"/>
    <col min="4" max="4" width="36.28515625" bestFit="1" customWidth="1"/>
    <col min="5" max="5" width="23" bestFit="1" customWidth="1"/>
    <col min="6" max="6" width="24.85546875" bestFit="1" customWidth="1"/>
    <col min="7" max="7" width="23.7109375" bestFit="1" customWidth="1"/>
    <col min="8" max="10" width="26.140625" bestFit="1" customWidth="1"/>
    <col min="11" max="11" width="27.7109375" bestFit="1" customWidth="1"/>
    <col min="12" max="12" width="25.42578125" bestFit="1" customWidth="1"/>
    <col min="13" max="13" width="25.42578125" style="14" bestFit="1" customWidth="1"/>
  </cols>
  <sheetData>
    <row r="1" spans="1:13" ht="102.75" customHeight="1" thickBot="1" x14ac:dyDescent="0.3">
      <c r="A1" s="40" t="s">
        <v>86</v>
      </c>
      <c r="B1" s="41"/>
      <c r="C1" s="41"/>
      <c r="D1" s="41"/>
      <c r="E1" s="41"/>
      <c r="F1" s="41"/>
      <c r="G1" s="9" t="s">
        <v>0</v>
      </c>
      <c r="H1" s="42">
        <f ca="1">TODAY()</f>
        <v>46255</v>
      </c>
      <c r="I1" s="43"/>
      <c r="J1" s="43"/>
      <c r="K1" s="43"/>
      <c r="L1" s="43"/>
      <c r="M1" s="43"/>
    </row>
    <row r="2" spans="1:13" ht="27" thickBot="1" x14ac:dyDescent="0.3">
      <c r="A2" s="38" t="s">
        <v>1</v>
      </c>
      <c r="B2" s="39"/>
      <c r="C2" s="1">
        <f>SUBTOTAL(3,C4:C101)</f>
        <v>98</v>
      </c>
      <c r="D2" s="1">
        <f>SUBTOTAL(3,D4:D101)</f>
        <v>98</v>
      </c>
      <c r="E2" s="1">
        <f>SUBTOTAL(3,E4:E101)</f>
        <v>98</v>
      </c>
      <c r="F2" s="2">
        <f>SUBTOTAL(9,F4:F149)</f>
        <v>8405894.2799999993</v>
      </c>
      <c r="G2" s="2">
        <f t="shared" ref="G2:M2" si="0">SUBTOTAL(9,G4:G149)</f>
        <v>1775646</v>
      </c>
      <c r="H2" s="2">
        <f t="shared" si="0"/>
        <v>1015933.28</v>
      </c>
      <c r="I2" s="2">
        <f t="shared" si="0"/>
        <v>1822242</v>
      </c>
      <c r="J2" s="2">
        <f t="shared" si="0"/>
        <v>1065513</v>
      </c>
      <c r="K2" s="2">
        <f t="shared" si="0"/>
        <v>1352759</v>
      </c>
      <c r="L2" s="2">
        <f t="shared" si="0"/>
        <v>667896</v>
      </c>
      <c r="M2" s="2">
        <f t="shared" si="0"/>
        <v>705905</v>
      </c>
    </row>
    <row r="3" spans="1:13" ht="21.75" thickBot="1" x14ac:dyDescent="0.3">
      <c r="A3" s="3" t="s">
        <v>2</v>
      </c>
      <c r="B3" s="4" t="s">
        <v>3</v>
      </c>
      <c r="C3" s="4" t="s">
        <v>45</v>
      </c>
      <c r="D3" s="4" t="s">
        <v>46</v>
      </c>
      <c r="E3" s="4" t="s">
        <v>4</v>
      </c>
      <c r="F3" s="5" t="s">
        <v>5</v>
      </c>
      <c r="G3" s="5" t="s">
        <v>153</v>
      </c>
      <c r="H3" s="5" t="s">
        <v>154</v>
      </c>
      <c r="I3" s="5" t="s">
        <v>168</v>
      </c>
      <c r="J3" s="5" t="s">
        <v>169</v>
      </c>
      <c r="K3" s="5" t="s">
        <v>170</v>
      </c>
      <c r="L3" s="5" t="s">
        <v>171</v>
      </c>
      <c r="M3" s="5" t="s">
        <v>174</v>
      </c>
    </row>
    <row r="4" spans="1:13" ht="24" x14ac:dyDescent="0.4">
      <c r="A4" s="6" t="s">
        <v>305</v>
      </c>
      <c r="B4" s="6" t="s">
        <v>293</v>
      </c>
      <c r="C4" s="6" t="s">
        <v>52</v>
      </c>
      <c r="D4" s="6" t="s">
        <v>52</v>
      </c>
      <c r="E4" s="6" t="s">
        <v>349</v>
      </c>
      <c r="F4" s="8">
        <v>32510</v>
      </c>
      <c r="G4" s="7">
        <v>32510</v>
      </c>
      <c r="H4" s="7">
        <v>0</v>
      </c>
      <c r="I4" s="7">
        <v>0</v>
      </c>
      <c r="J4" s="7">
        <v>0</v>
      </c>
      <c r="K4" s="7">
        <v>0</v>
      </c>
      <c r="L4" s="7">
        <v>0</v>
      </c>
      <c r="M4" s="7">
        <v>0</v>
      </c>
    </row>
    <row r="5" spans="1:13" ht="24" x14ac:dyDescent="0.4">
      <c r="A5" s="6" t="s">
        <v>312</v>
      </c>
      <c r="B5" s="6" t="s">
        <v>298</v>
      </c>
      <c r="C5" s="6" t="s">
        <v>52</v>
      </c>
      <c r="D5" s="6" t="s">
        <v>334</v>
      </c>
      <c r="E5" s="6" t="s">
        <v>349</v>
      </c>
      <c r="F5" s="8">
        <v>24523</v>
      </c>
      <c r="G5" s="7">
        <v>24523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</row>
    <row r="6" spans="1:13" ht="24" x14ac:dyDescent="0.4">
      <c r="A6" s="6" t="s">
        <v>308</v>
      </c>
      <c r="B6" s="6" t="s">
        <v>296</v>
      </c>
      <c r="C6" s="6" t="s">
        <v>331</v>
      </c>
      <c r="D6" s="6" t="s">
        <v>332</v>
      </c>
      <c r="E6" s="6" t="s">
        <v>333</v>
      </c>
      <c r="F6" s="8">
        <v>19555</v>
      </c>
      <c r="G6" s="7">
        <v>19555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</row>
    <row r="7" spans="1:13" ht="24" x14ac:dyDescent="0.4">
      <c r="A7" s="6" t="s">
        <v>272</v>
      </c>
      <c r="B7" s="6" t="s">
        <v>18</v>
      </c>
      <c r="C7" s="6" t="s">
        <v>54</v>
      </c>
      <c r="D7" s="6" t="s">
        <v>62</v>
      </c>
      <c r="E7" s="6" t="s">
        <v>333</v>
      </c>
      <c r="F7" s="8">
        <v>31647</v>
      </c>
      <c r="G7" s="7">
        <v>0</v>
      </c>
      <c r="H7" s="7">
        <v>0</v>
      </c>
      <c r="I7" s="7">
        <v>0</v>
      </c>
      <c r="J7" s="7">
        <v>10000</v>
      </c>
      <c r="K7" s="7">
        <v>0</v>
      </c>
      <c r="L7" s="7">
        <v>0</v>
      </c>
      <c r="M7" s="7">
        <v>21647</v>
      </c>
    </row>
    <row r="8" spans="1:13" ht="24" x14ac:dyDescent="0.4">
      <c r="A8" s="6" t="s">
        <v>270</v>
      </c>
      <c r="B8" s="6" t="s">
        <v>15</v>
      </c>
      <c r="C8" s="6" t="s">
        <v>54</v>
      </c>
      <c r="D8" s="6" t="s">
        <v>353</v>
      </c>
      <c r="E8" s="6" t="s">
        <v>333</v>
      </c>
      <c r="F8" s="8">
        <v>21647</v>
      </c>
      <c r="G8" s="7">
        <v>0</v>
      </c>
      <c r="H8" s="7">
        <v>0</v>
      </c>
      <c r="I8" s="7">
        <v>0</v>
      </c>
      <c r="J8" s="7">
        <v>0</v>
      </c>
      <c r="K8" s="7">
        <v>0</v>
      </c>
      <c r="L8" s="7">
        <v>0</v>
      </c>
      <c r="M8" s="7">
        <v>21647</v>
      </c>
    </row>
    <row r="9" spans="1:13" ht="24" x14ac:dyDescent="0.4">
      <c r="A9" s="6" t="s">
        <v>245</v>
      </c>
      <c r="B9" s="6" t="s">
        <v>40</v>
      </c>
      <c r="C9" s="6" t="s">
        <v>54</v>
      </c>
      <c r="D9" s="6" t="s">
        <v>353</v>
      </c>
      <c r="E9" s="6" t="s">
        <v>333</v>
      </c>
      <c r="F9" s="8">
        <v>56460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56460</v>
      </c>
    </row>
    <row r="10" spans="1:13" ht="24" x14ac:dyDescent="0.4">
      <c r="A10" s="6" t="s">
        <v>70</v>
      </c>
      <c r="B10" s="6" t="s">
        <v>107</v>
      </c>
      <c r="C10" s="6" t="s">
        <v>54</v>
      </c>
      <c r="D10" s="6" t="s">
        <v>119</v>
      </c>
      <c r="E10" s="6" t="s">
        <v>333</v>
      </c>
      <c r="F10" s="8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</row>
    <row r="11" spans="1:13" ht="24" x14ac:dyDescent="0.4">
      <c r="A11" s="6" t="s">
        <v>213</v>
      </c>
      <c r="B11" s="6" t="s">
        <v>113</v>
      </c>
      <c r="C11" s="6" t="s">
        <v>54</v>
      </c>
      <c r="D11" s="6" t="s">
        <v>121</v>
      </c>
      <c r="E11" s="6" t="s">
        <v>333</v>
      </c>
      <c r="F11" s="8">
        <v>62931</v>
      </c>
      <c r="G11" s="7">
        <v>0</v>
      </c>
      <c r="H11" s="7">
        <v>0</v>
      </c>
      <c r="I11" s="7">
        <v>0</v>
      </c>
      <c r="J11" s="7">
        <v>61555</v>
      </c>
      <c r="K11" s="7">
        <v>1376</v>
      </c>
      <c r="L11" s="7">
        <v>0</v>
      </c>
      <c r="M11" s="7">
        <v>0</v>
      </c>
    </row>
    <row r="12" spans="1:13" ht="24" x14ac:dyDescent="0.4">
      <c r="A12" s="6" t="s">
        <v>220</v>
      </c>
      <c r="B12" s="6" t="s">
        <v>110</v>
      </c>
      <c r="C12" s="6" t="s">
        <v>54</v>
      </c>
      <c r="D12" s="6" t="s">
        <v>121</v>
      </c>
      <c r="E12" s="6" t="s">
        <v>333</v>
      </c>
      <c r="F12" s="8">
        <v>82715</v>
      </c>
      <c r="G12" s="7">
        <v>0</v>
      </c>
      <c r="H12" s="7">
        <v>0</v>
      </c>
      <c r="I12" s="7">
        <v>0</v>
      </c>
      <c r="J12" s="7">
        <v>0</v>
      </c>
      <c r="K12" s="7">
        <v>82715</v>
      </c>
      <c r="L12" s="7">
        <v>0</v>
      </c>
      <c r="M12" s="7">
        <v>0</v>
      </c>
    </row>
    <row r="13" spans="1:13" ht="24" x14ac:dyDescent="0.4">
      <c r="A13" s="6" t="s">
        <v>264</v>
      </c>
      <c r="B13" s="6" t="s">
        <v>98</v>
      </c>
      <c r="C13" s="6" t="s">
        <v>55</v>
      </c>
      <c r="D13" s="6" t="s">
        <v>127</v>
      </c>
      <c r="E13" s="6" t="s">
        <v>333</v>
      </c>
      <c r="F13" s="8">
        <v>31647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31647</v>
      </c>
      <c r="M13" s="7">
        <v>0</v>
      </c>
    </row>
    <row r="14" spans="1:13" ht="24" x14ac:dyDescent="0.4">
      <c r="A14" s="6" t="s">
        <v>255</v>
      </c>
      <c r="B14" s="6" t="s">
        <v>20</v>
      </c>
      <c r="C14" s="6" t="s">
        <v>54</v>
      </c>
      <c r="D14" s="6" t="s">
        <v>55</v>
      </c>
      <c r="E14" s="6" t="s">
        <v>333</v>
      </c>
      <c r="F14" s="8">
        <v>44028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44028</v>
      </c>
    </row>
    <row r="15" spans="1:13" ht="24" x14ac:dyDescent="0.4">
      <c r="A15" s="6" t="s">
        <v>139</v>
      </c>
      <c r="B15" s="6" t="s">
        <v>157</v>
      </c>
      <c r="C15" s="6" t="s">
        <v>54</v>
      </c>
      <c r="D15" s="6" t="s">
        <v>165</v>
      </c>
      <c r="E15" s="6" t="s">
        <v>333</v>
      </c>
      <c r="F15" s="8">
        <v>94529</v>
      </c>
      <c r="G15" s="7">
        <v>0</v>
      </c>
      <c r="H15" s="7">
        <v>0</v>
      </c>
      <c r="I15" s="7">
        <v>94529</v>
      </c>
      <c r="J15" s="7">
        <v>0</v>
      </c>
      <c r="K15" s="7">
        <v>0</v>
      </c>
      <c r="L15" s="7">
        <v>0</v>
      </c>
      <c r="M15" s="7">
        <v>0</v>
      </c>
    </row>
    <row r="16" spans="1:13" ht="24" x14ac:dyDescent="0.4">
      <c r="A16" s="6" t="s">
        <v>211</v>
      </c>
      <c r="B16" s="6" t="s">
        <v>9</v>
      </c>
      <c r="C16" s="6" t="s">
        <v>54</v>
      </c>
      <c r="D16" s="6" t="s">
        <v>61</v>
      </c>
      <c r="E16" s="6" t="s">
        <v>333</v>
      </c>
      <c r="F16" s="8">
        <v>151589</v>
      </c>
      <c r="G16" s="7">
        <v>0</v>
      </c>
      <c r="H16" s="7">
        <v>0</v>
      </c>
      <c r="I16" s="7">
        <v>0</v>
      </c>
      <c r="J16" s="7">
        <v>119942</v>
      </c>
      <c r="K16" s="7">
        <v>15000</v>
      </c>
      <c r="L16" s="7">
        <v>0</v>
      </c>
      <c r="M16" s="7">
        <v>16647</v>
      </c>
    </row>
    <row r="17" spans="1:13" ht="24" x14ac:dyDescent="0.4">
      <c r="A17" s="6" t="s">
        <v>271</v>
      </c>
      <c r="B17" s="6" t="s">
        <v>11</v>
      </c>
      <c r="C17" s="6" t="s">
        <v>54</v>
      </c>
      <c r="D17" s="6" t="s">
        <v>61</v>
      </c>
      <c r="E17" s="6" t="s">
        <v>333</v>
      </c>
      <c r="F17" s="8">
        <v>21647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21647</v>
      </c>
    </row>
    <row r="18" spans="1:13" ht="24" x14ac:dyDescent="0.4">
      <c r="A18" s="6" t="s">
        <v>238</v>
      </c>
      <c r="B18" s="6" t="s">
        <v>155</v>
      </c>
      <c r="C18" s="6" t="s">
        <v>54</v>
      </c>
      <c r="D18" s="6" t="s">
        <v>90</v>
      </c>
      <c r="E18" s="6" t="s">
        <v>333</v>
      </c>
      <c r="F18" s="8">
        <v>38239</v>
      </c>
      <c r="G18" s="7">
        <v>0</v>
      </c>
      <c r="H18" s="7">
        <v>0</v>
      </c>
      <c r="I18" s="7">
        <v>38239</v>
      </c>
      <c r="J18" s="7">
        <v>0</v>
      </c>
      <c r="K18" s="7">
        <v>0</v>
      </c>
      <c r="L18" s="7">
        <v>0</v>
      </c>
      <c r="M18" s="7">
        <v>0</v>
      </c>
    </row>
    <row r="19" spans="1:13" ht="24" x14ac:dyDescent="0.4">
      <c r="A19" s="6" t="s">
        <v>221</v>
      </c>
      <c r="B19" s="6" t="s">
        <v>82</v>
      </c>
      <c r="C19" s="6" t="s">
        <v>54</v>
      </c>
      <c r="D19" s="6" t="s">
        <v>90</v>
      </c>
      <c r="E19" s="6" t="s">
        <v>333</v>
      </c>
      <c r="F19" s="8">
        <v>100534</v>
      </c>
      <c r="G19" s="7">
        <v>0</v>
      </c>
      <c r="H19" s="7">
        <v>0</v>
      </c>
      <c r="I19" s="7">
        <v>0</v>
      </c>
      <c r="J19" s="7">
        <v>99887</v>
      </c>
      <c r="K19" s="7">
        <v>0</v>
      </c>
      <c r="L19" s="7">
        <v>647</v>
      </c>
      <c r="M19" s="7">
        <v>0</v>
      </c>
    </row>
    <row r="20" spans="1:13" ht="24" x14ac:dyDescent="0.4">
      <c r="A20" s="6" t="s">
        <v>195</v>
      </c>
      <c r="B20" s="6" t="s">
        <v>33</v>
      </c>
      <c r="C20" s="6" t="s">
        <v>49</v>
      </c>
      <c r="D20" s="6" t="s">
        <v>49</v>
      </c>
      <c r="E20" s="6" t="s">
        <v>333</v>
      </c>
      <c r="F20" s="8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</row>
    <row r="21" spans="1:13" ht="24" x14ac:dyDescent="0.4">
      <c r="A21" s="6" t="s">
        <v>265</v>
      </c>
      <c r="B21" s="6" t="s">
        <v>99</v>
      </c>
      <c r="C21" s="6" t="s">
        <v>54</v>
      </c>
      <c r="D21" s="6" t="s">
        <v>128</v>
      </c>
      <c r="E21" s="6" t="s">
        <v>333</v>
      </c>
      <c r="F21" s="8">
        <v>31647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31647</v>
      </c>
      <c r="M21" s="7">
        <v>0</v>
      </c>
    </row>
    <row r="22" spans="1:13" ht="24" x14ac:dyDescent="0.4">
      <c r="A22" s="6" t="s">
        <v>289</v>
      </c>
      <c r="B22" s="6" t="s">
        <v>8</v>
      </c>
      <c r="C22" s="6" t="s">
        <v>54</v>
      </c>
      <c r="D22" s="6" t="s">
        <v>54</v>
      </c>
      <c r="E22" s="6" t="s">
        <v>333</v>
      </c>
      <c r="F22" s="8">
        <v>6647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6647</v>
      </c>
    </row>
    <row r="23" spans="1:13" ht="24" x14ac:dyDescent="0.4">
      <c r="A23" s="6" t="s">
        <v>266</v>
      </c>
      <c r="B23" s="6" t="s">
        <v>7</v>
      </c>
      <c r="C23" s="6" t="s">
        <v>54</v>
      </c>
      <c r="D23" s="6" t="s">
        <v>54</v>
      </c>
      <c r="E23" s="6" t="s">
        <v>333</v>
      </c>
      <c r="F23" s="8">
        <v>31647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31647</v>
      </c>
    </row>
    <row r="24" spans="1:13" ht="24" x14ac:dyDescent="0.4">
      <c r="A24" s="6" t="s">
        <v>256</v>
      </c>
      <c r="B24" s="6" t="s">
        <v>25</v>
      </c>
      <c r="C24" s="6" t="s">
        <v>54</v>
      </c>
      <c r="D24" s="6" t="s">
        <v>54</v>
      </c>
      <c r="E24" s="6" t="s">
        <v>333</v>
      </c>
      <c r="F24" s="8">
        <v>37239</v>
      </c>
      <c r="G24" s="7">
        <v>0</v>
      </c>
      <c r="H24" s="7">
        <v>0</v>
      </c>
      <c r="I24" s="7">
        <v>0</v>
      </c>
      <c r="J24" s="7">
        <v>36592</v>
      </c>
      <c r="K24" s="7">
        <v>647</v>
      </c>
      <c r="L24" s="7">
        <v>0</v>
      </c>
      <c r="M24" s="7">
        <v>0</v>
      </c>
    </row>
    <row r="25" spans="1:13" ht="24" x14ac:dyDescent="0.4">
      <c r="A25" s="6" t="s">
        <v>237</v>
      </c>
      <c r="B25" s="6" t="s">
        <v>42</v>
      </c>
      <c r="C25" s="6" t="s">
        <v>54</v>
      </c>
      <c r="D25" s="6" t="s">
        <v>54</v>
      </c>
      <c r="E25" s="6" t="s">
        <v>333</v>
      </c>
      <c r="F25" s="8">
        <v>48932</v>
      </c>
      <c r="G25" s="7">
        <v>0</v>
      </c>
      <c r="H25" s="7">
        <v>0</v>
      </c>
      <c r="I25" s="7">
        <v>0</v>
      </c>
      <c r="J25" s="7">
        <v>39394</v>
      </c>
      <c r="K25" s="7">
        <v>0</v>
      </c>
      <c r="L25" s="7">
        <v>0</v>
      </c>
      <c r="M25" s="7">
        <v>9538</v>
      </c>
    </row>
    <row r="26" spans="1:13" ht="24" x14ac:dyDescent="0.4">
      <c r="A26" s="6" t="s">
        <v>226</v>
      </c>
      <c r="B26" s="6" t="s">
        <v>23</v>
      </c>
      <c r="C26" s="6" t="s">
        <v>54</v>
      </c>
      <c r="D26" s="6" t="s">
        <v>54</v>
      </c>
      <c r="E26" s="6" t="s">
        <v>333</v>
      </c>
      <c r="F26" s="8">
        <v>90130</v>
      </c>
      <c r="G26" s="7">
        <v>0</v>
      </c>
      <c r="H26" s="7">
        <v>0</v>
      </c>
      <c r="I26" s="7">
        <v>0</v>
      </c>
      <c r="J26" s="7">
        <v>0</v>
      </c>
      <c r="K26" s="7">
        <v>81103</v>
      </c>
      <c r="L26" s="7">
        <v>0</v>
      </c>
      <c r="M26" s="7">
        <v>9027</v>
      </c>
    </row>
    <row r="27" spans="1:13" ht="24" x14ac:dyDescent="0.4">
      <c r="A27" s="6" t="s">
        <v>218</v>
      </c>
      <c r="B27" s="6" t="s">
        <v>29</v>
      </c>
      <c r="C27" s="6" t="s">
        <v>54</v>
      </c>
      <c r="D27" s="6" t="s">
        <v>54</v>
      </c>
      <c r="E27" s="6" t="s">
        <v>333</v>
      </c>
      <c r="F27" s="8">
        <v>108534</v>
      </c>
      <c r="G27" s="7">
        <v>0</v>
      </c>
      <c r="H27" s="7">
        <v>0</v>
      </c>
      <c r="I27" s="7">
        <v>12860</v>
      </c>
      <c r="J27" s="7">
        <v>94942</v>
      </c>
      <c r="K27" s="7">
        <v>0</v>
      </c>
      <c r="L27" s="7">
        <v>0</v>
      </c>
      <c r="M27" s="7">
        <v>732</v>
      </c>
    </row>
    <row r="28" spans="1:13" ht="24" x14ac:dyDescent="0.4">
      <c r="A28" s="6" t="s">
        <v>217</v>
      </c>
      <c r="B28" s="6" t="s">
        <v>94</v>
      </c>
      <c r="C28" s="6" t="s">
        <v>54</v>
      </c>
      <c r="D28" s="6" t="s">
        <v>54</v>
      </c>
      <c r="E28" s="6" t="s">
        <v>333</v>
      </c>
      <c r="F28" s="8">
        <v>110172</v>
      </c>
      <c r="G28" s="7">
        <v>0</v>
      </c>
      <c r="H28" s="7">
        <v>0</v>
      </c>
      <c r="I28" s="7">
        <v>0</v>
      </c>
      <c r="J28" s="7">
        <v>0</v>
      </c>
      <c r="K28" s="7">
        <v>0</v>
      </c>
      <c r="L28" s="7">
        <v>110172</v>
      </c>
      <c r="M28" s="7">
        <v>0</v>
      </c>
    </row>
    <row r="29" spans="1:13" ht="24" x14ac:dyDescent="0.4">
      <c r="A29" s="6" t="s">
        <v>292</v>
      </c>
      <c r="B29" s="6" t="s">
        <v>34</v>
      </c>
      <c r="C29" s="6" t="s">
        <v>47</v>
      </c>
      <c r="D29" s="6" t="s">
        <v>47</v>
      </c>
      <c r="E29" s="6" t="s">
        <v>48</v>
      </c>
      <c r="F29" s="8">
        <v>0</v>
      </c>
      <c r="G29" s="7">
        <v>0</v>
      </c>
      <c r="H29" s="7">
        <v>0</v>
      </c>
      <c r="I29" s="7">
        <v>0</v>
      </c>
      <c r="J29" s="7">
        <v>0</v>
      </c>
      <c r="K29" s="7">
        <v>0</v>
      </c>
      <c r="L29" s="7">
        <v>0</v>
      </c>
      <c r="M29" s="7">
        <v>0</v>
      </c>
    </row>
    <row r="30" spans="1:13" ht="24" x14ac:dyDescent="0.4">
      <c r="A30" s="6" t="s">
        <v>193</v>
      </c>
      <c r="B30" s="6" t="s">
        <v>146</v>
      </c>
      <c r="C30" s="6" t="s">
        <v>52</v>
      </c>
      <c r="D30" s="6" t="s">
        <v>148</v>
      </c>
      <c r="E30" s="6" t="s">
        <v>148</v>
      </c>
      <c r="F30" s="8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</row>
    <row r="31" spans="1:13" ht="24" x14ac:dyDescent="0.4">
      <c r="A31" s="6" t="s">
        <v>310</v>
      </c>
      <c r="B31" s="6" t="s">
        <v>299</v>
      </c>
      <c r="C31" s="6" t="s">
        <v>52</v>
      </c>
      <c r="D31" s="6" t="s">
        <v>335</v>
      </c>
      <c r="E31" s="6" t="s">
        <v>349</v>
      </c>
      <c r="F31" s="8">
        <v>26690</v>
      </c>
      <c r="G31" s="7">
        <v>26690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</row>
    <row r="32" spans="1:13" ht="24" x14ac:dyDescent="0.4">
      <c r="A32" s="6" t="s">
        <v>314</v>
      </c>
      <c r="B32" s="6" t="s">
        <v>302</v>
      </c>
      <c r="C32" s="6" t="s">
        <v>52</v>
      </c>
      <c r="D32" s="6" t="s">
        <v>329</v>
      </c>
      <c r="E32" s="6" t="s">
        <v>349</v>
      </c>
      <c r="F32" s="8">
        <v>7098</v>
      </c>
      <c r="G32" s="7">
        <v>7098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</row>
    <row r="33" spans="1:13" ht="24" x14ac:dyDescent="0.4">
      <c r="A33" s="6" t="s">
        <v>239</v>
      </c>
      <c r="B33" s="6" t="s">
        <v>101</v>
      </c>
      <c r="C33" s="6" t="s">
        <v>52</v>
      </c>
      <c r="D33" s="6" t="s">
        <v>124</v>
      </c>
      <c r="E33" s="6" t="s">
        <v>349</v>
      </c>
      <c r="F33" s="8">
        <v>67513</v>
      </c>
      <c r="G33" s="7">
        <v>0</v>
      </c>
      <c r="H33" s="7">
        <v>0</v>
      </c>
      <c r="I33" s="7">
        <v>0</v>
      </c>
      <c r="J33" s="7">
        <v>0</v>
      </c>
      <c r="K33" s="7">
        <v>67513</v>
      </c>
      <c r="L33" s="7">
        <v>0</v>
      </c>
      <c r="M33" s="7">
        <v>0</v>
      </c>
    </row>
    <row r="34" spans="1:13" ht="24" x14ac:dyDescent="0.4">
      <c r="A34" s="6" t="s">
        <v>311</v>
      </c>
      <c r="B34" s="6" t="s">
        <v>300</v>
      </c>
      <c r="C34" s="6" t="s">
        <v>52</v>
      </c>
      <c r="D34" s="6" t="s">
        <v>327</v>
      </c>
      <c r="E34" s="6" t="s">
        <v>349</v>
      </c>
      <c r="F34" s="8">
        <v>1</v>
      </c>
      <c r="G34" s="7">
        <v>1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</row>
    <row r="35" spans="1:13" ht="24" x14ac:dyDescent="0.4">
      <c r="A35" s="6" t="s">
        <v>322</v>
      </c>
      <c r="B35" s="6" t="s">
        <v>317</v>
      </c>
      <c r="C35" s="6" t="s">
        <v>52</v>
      </c>
      <c r="D35" s="6" t="s">
        <v>328</v>
      </c>
      <c r="E35" s="6" t="s">
        <v>349</v>
      </c>
      <c r="F35" s="8">
        <v>3407</v>
      </c>
      <c r="G35" s="7">
        <v>3407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</row>
    <row r="36" spans="1:13" ht="24" x14ac:dyDescent="0.4">
      <c r="A36" s="6" t="s">
        <v>316</v>
      </c>
      <c r="B36" s="6" t="s">
        <v>304</v>
      </c>
      <c r="C36" s="6" t="s">
        <v>345</v>
      </c>
      <c r="D36" s="6" t="s">
        <v>346</v>
      </c>
      <c r="E36" s="6" t="s">
        <v>349</v>
      </c>
      <c r="F36" s="8">
        <v>307721</v>
      </c>
      <c r="G36" s="7">
        <v>307721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</row>
    <row r="37" spans="1:13" ht="24" x14ac:dyDescent="0.4">
      <c r="A37" s="6" t="s">
        <v>313</v>
      </c>
      <c r="B37" s="6" t="s">
        <v>301</v>
      </c>
      <c r="C37" s="6" t="s">
        <v>52</v>
      </c>
      <c r="D37" s="6" t="s">
        <v>336</v>
      </c>
      <c r="E37" s="6" t="s">
        <v>349</v>
      </c>
      <c r="F37" s="8">
        <v>27398</v>
      </c>
      <c r="G37" s="7">
        <v>27398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</row>
    <row r="38" spans="1:13" ht="24" x14ac:dyDescent="0.4">
      <c r="A38" s="6" t="s">
        <v>290</v>
      </c>
      <c r="B38" s="6" t="s">
        <v>166</v>
      </c>
      <c r="C38" s="6" t="s">
        <v>52</v>
      </c>
      <c r="D38" s="6" t="s">
        <v>348</v>
      </c>
      <c r="E38" s="6" t="s">
        <v>349</v>
      </c>
      <c r="F38" s="8">
        <v>3129</v>
      </c>
      <c r="G38" s="7">
        <v>0</v>
      </c>
      <c r="H38" s="7">
        <v>0</v>
      </c>
      <c r="I38" s="7">
        <v>3129</v>
      </c>
      <c r="J38" s="7">
        <v>0</v>
      </c>
      <c r="K38" s="7">
        <v>0</v>
      </c>
      <c r="L38" s="7">
        <v>0</v>
      </c>
      <c r="M38" s="7">
        <v>0</v>
      </c>
    </row>
    <row r="39" spans="1:13" ht="24" x14ac:dyDescent="0.4">
      <c r="A39" s="6" t="s">
        <v>306</v>
      </c>
      <c r="B39" s="6" t="s">
        <v>294</v>
      </c>
      <c r="C39" s="6" t="s">
        <v>52</v>
      </c>
      <c r="D39" s="6" t="s">
        <v>342</v>
      </c>
      <c r="E39" s="6" t="s">
        <v>349</v>
      </c>
      <c r="F39" s="8">
        <v>106844</v>
      </c>
      <c r="G39" s="7">
        <v>106844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</row>
    <row r="40" spans="1:13" ht="24" x14ac:dyDescent="0.4">
      <c r="A40" s="6" t="s">
        <v>286</v>
      </c>
      <c r="B40" s="6" t="s">
        <v>137</v>
      </c>
      <c r="C40" s="6" t="s">
        <v>52</v>
      </c>
      <c r="D40" s="6" t="s">
        <v>147</v>
      </c>
      <c r="E40" s="6" t="s">
        <v>349</v>
      </c>
      <c r="F40" s="8">
        <v>8983</v>
      </c>
      <c r="G40" s="7">
        <v>0</v>
      </c>
      <c r="H40" s="7">
        <v>0</v>
      </c>
      <c r="I40" s="7">
        <v>0</v>
      </c>
      <c r="J40" s="7">
        <v>0</v>
      </c>
      <c r="K40" s="7">
        <v>8983</v>
      </c>
      <c r="L40" s="7">
        <v>0</v>
      </c>
      <c r="M40" s="7">
        <v>0</v>
      </c>
    </row>
    <row r="41" spans="1:13" ht="24" x14ac:dyDescent="0.4">
      <c r="A41" s="6" t="s">
        <v>309</v>
      </c>
      <c r="B41" s="6" t="s">
        <v>297</v>
      </c>
      <c r="C41" s="6" t="s">
        <v>52</v>
      </c>
      <c r="D41" s="6" t="s">
        <v>340</v>
      </c>
      <c r="E41" s="6" t="s">
        <v>56</v>
      </c>
      <c r="F41" s="8">
        <v>56562</v>
      </c>
      <c r="G41" s="7">
        <v>56562</v>
      </c>
      <c r="H41" s="7">
        <v>0</v>
      </c>
      <c r="I41" s="7">
        <v>0</v>
      </c>
      <c r="J41" s="7">
        <v>0</v>
      </c>
      <c r="K41" s="7">
        <v>0</v>
      </c>
      <c r="L41" s="7">
        <v>0</v>
      </c>
      <c r="M41" s="7">
        <v>0</v>
      </c>
    </row>
    <row r="42" spans="1:13" ht="24" x14ac:dyDescent="0.4">
      <c r="A42" s="6" t="s">
        <v>280</v>
      </c>
      <c r="B42" s="6" t="s">
        <v>105</v>
      </c>
      <c r="C42" s="6" t="s">
        <v>52</v>
      </c>
      <c r="D42" s="6" t="s">
        <v>130</v>
      </c>
      <c r="E42" s="6" t="s">
        <v>56</v>
      </c>
      <c r="F42" s="8">
        <v>14484</v>
      </c>
      <c r="G42" s="7">
        <v>0</v>
      </c>
      <c r="H42" s="7">
        <v>0</v>
      </c>
      <c r="I42" s="7">
        <v>0</v>
      </c>
      <c r="J42" s="7">
        <v>0</v>
      </c>
      <c r="K42" s="7">
        <v>14484</v>
      </c>
      <c r="L42" s="7">
        <v>0</v>
      </c>
      <c r="M42" s="7">
        <v>0</v>
      </c>
    </row>
    <row r="43" spans="1:13" ht="24" x14ac:dyDescent="0.4">
      <c r="A43" s="6" t="s">
        <v>234</v>
      </c>
      <c r="B43" s="6" t="s">
        <v>173</v>
      </c>
      <c r="C43" s="6" t="s">
        <v>52</v>
      </c>
      <c r="D43" s="6" t="s">
        <v>362</v>
      </c>
      <c r="E43" s="6" t="s">
        <v>56</v>
      </c>
      <c r="F43" s="8">
        <v>73137</v>
      </c>
      <c r="G43" s="7">
        <v>0</v>
      </c>
      <c r="H43" s="7">
        <v>73137</v>
      </c>
      <c r="I43" s="7">
        <v>0</v>
      </c>
      <c r="J43" s="7">
        <v>0</v>
      </c>
      <c r="K43" s="7">
        <v>0</v>
      </c>
      <c r="L43" s="7">
        <v>0</v>
      </c>
      <c r="M43" s="7">
        <v>0</v>
      </c>
    </row>
    <row r="44" spans="1:13" ht="24" x14ac:dyDescent="0.4">
      <c r="A44" s="6" t="s">
        <v>277</v>
      </c>
      <c r="B44" s="6" t="s">
        <v>181</v>
      </c>
      <c r="C44" s="6" t="s">
        <v>52</v>
      </c>
      <c r="D44" s="6" t="s">
        <v>59</v>
      </c>
      <c r="E44" s="6" t="s">
        <v>56</v>
      </c>
      <c r="F44" s="8">
        <v>830</v>
      </c>
      <c r="G44" s="7">
        <v>0</v>
      </c>
      <c r="H44" s="7">
        <v>830</v>
      </c>
      <c r="I44" s="7">
        <v>0</v>
      </c>
      <c r="J44" s="7">
        <v>0</v>
      </c>
      <c r="K44" s="7">
        <v>0</v>
      </c>
      <c r="L44" s="7">
        <v>0</v>
      </c>
      <c r="M44" s="7">
        <v>0</v>
      </c>
    </row>
    <row r="45" spans="1:13" ht="24" x14ac:dyDescent="0.4">
      <c r="A45" s="6" t="s">
        <v>257</v>
      </c>
      <c r="B45" s="6" t="s">
        <v>135</v>
      </c>
      <c r="C45" s="6" t="s">
        <v>52</v>
      </c>
      <c r="D45" s="6" t="s">
        <v>59</v>
      </c>
      <c r="E45" s="6" t="s">
        <v>56</v>
      </c>
      <c r="F45" s="8">
        <v>69395</v>
      </c>
      <c r="G45" s="7">
        <v>32740</v>
      </c>
      <c r="H45" s="7">
        <v>0</v>
      </c>
      <c r="I45" s="7">
        <v>0</v>
      </c>
      <c r="J45" s="7">
        <v>0</v>
      </c>
      <c r="K45" s="7">
        <v>36655</v>
      </c>
      <c r="L45" s="7">
        <v>0</v>
      </c>
      <c r="M45" s="7">
        <v>0</v>
      </c>
    </row>
    <row r="46" spans="1:13" ht="24" x14ac:dyDescent="0.4">
      <c r="A46" s="6" t="s">
        <v>214</v>
      </c>
      <c r="B46" s="6" t="s">
        <v>27</v>
      </c>
      <c r="C46" s="6" t="s">
        <v>52</v>
      </c>
      <c r="D46" s="6" t="s">
        <v>59</v>
      </c>
      <c r="E46" s="6" t="s">
        <v>56</v>
      </c>
      <c r="F46" s="8">
        <v>125276</v>
      </c>
      <c r="G46" s="7">
        <v>0</v>
      </c>
      <c r="H46" s="7">
        <v>0</v>
      </c>
      <c r="I46" s="7">
        <v>0</v>
      </c>
      <c r="J46" s="7">
        <v>0</v>
      </c>
      <c r="K46" s="7">
        <v>105882</v>
      </c>
      <c r="L46" s="7">
        <v>0</v>
      </c>
      <c r="M46" s="7">
        <v>19394</v>
      </c>
    </row>
    <row r="47" spans="1:13" ht="24" x14ac:dyDescent="0.4">
      <c r="A47" s="6" t="s">
        <v>203</v>
      </c>
      <c r="B47" s="6" t="s">
        <v>141</v>
      </c>
      <c r="C47" s="6" t="s">
        <v>150</v>
      </c>
      <c r="D47" s="6" t="s">
        <v>151</v>
      </c>
      <c r="E47" s="6" t="s">
        <v>56</v>
      </c>
      <c r="F47" s="8">
        <v>198946</v>
      </c>
      <c r="G47" s="7">
        <v>177</v>
      </c>
      <c r="H47" s="7">
        <v>0</v>
      </c>
      <c r="I47" s="7">
        <v>61860</v>
      </c>
      <c r="J47" s="7">
        <v>101830</v>
      </c>
      <c r="K47" s="7">
        <v>35079</v>
      </c>
      <c r="L47" s="7">
        <v>0</v>
      </c>
      <c r="M47" s="7">
        <v>0</v>
      </c>
    </row>
    <row r="48" spans="1:13" ht="24" x14ac:dyDescent="0.4">
      <c r="A48" s="6" t="s">
        <v>259</v>
      </c>
      <c r="B48" s="6" t="s">
        <v>77</v>
      </c>
      <c r="C48" s="6" t="s">
        <v>52</v>
      </c>
      <c r="D48" s="6" t="s">
        <v>89</v>
      </c>
      <c r="E48" s="6" t="s">
        <v>56</v>
      </c>
      <c r="F48" s="8">
        <v>34456</v>
      </c>
      <c r="G48" s="7">
        <v>0</v>
      </c>
      <c r="H48" s="7">
        <v>0</v>
      </c>
      <c r="I48" s="7">
        <v>0</v>
      </c>
      <c r="J48" s="7">
        <v>0</v>
      </c>
      <c r="K48" s="7">
        <v>0</v>
      </c>
      <c r="L48" s="7">
        <v>34456</v>
      </c>
      <c r="M48" s="7">
        <v>0</v>
      </c>
    </row>
    <row r="49" spans="1:13" ht="24" x14ac:dyDescent="0.4">
      <c r="A49" s="6" t="s">
        <v>200</v>
      </c>
      <c r="B49" s="6" t="s">
        <v>21</v>
      </c>
      <c r="C49" s="6" t="s">
        <v>68</v>
      </c>
      <c r="D49" s="6" t="s">
        <v>68</v>
      </c>
      <c r="E49" s="6" t="s">
        <v>56</v>
      </c>
      <c r="F49" s="8">
        <v>685078</v>
      </c>
      <c r="G49" s="7">
        <v>0</v>
      </c>
      <c r="H49" s="7">
        <v>0</v>
      </c>
      <c r="I49" s="7">
        <v>685078</v>
      </c>
      <c r="J49" s="7">
        <v>0</v>
      </c>
      <c r="K49" s="7">
        <v>0</v>
      </c>
      <c r="L49" s="7">
        <v>0</v>
      </c>
      <c r="M49" s="7">
        <v>0</v>
      </c>
    </row>
    <row r="50" spans="1:13" ht="24" x14ac:dyDescent="0.4">
      <c r="A50" s="6" t="s">
        <v>225</v>
      </c>
      <c r="B50" s="6" t="s">
        <v>103</v>
      </c>
      <c r="C50" s="6" t="s">
        <v>73</v>
      </c>
      <c r="D50" s="6" t="s">
        <v>366</v>
      </c>
      <c r="E50" s="6" t="s">
        <v>56</v>
      </c>
      <c r="F50" s="8">
        <v>90906</v>
      </c>
      <c r="G50" s="7">
        <v>0</v>
      </c>
      <c r="H50" s="7">
        <v>0</v>
      </c>
      <c r="I50" s="7">
        <v>0</v>
      </c>
      <c r="J50" s="7">
        <v>0</v>
      </c>
      <c r="K50" s="7">
        <v>90906</v>
      </c>
      <c r="L50" s="7">
        <v>0</v>
      </c>
      <c r="M50" s="7">
        <v>0</v>
      </c>
    </row>
    <row r="51" spans="1:13" ht="24" x14ac:dyDescent="0.4">
      <c r="A51" s="6" t="s">
        <v>216</v>
      </c>
      <c r="B51" s="6" t="s">
        <v>83</v>
      </c>
      <c r="C51" s="6" t="s">
        <v>52</v>
      </c>
      <c r="D51" s="6" t="s">
        <v>88</v>
      </c>
      <c r="E51" s="6" t="s">
        <v>56</v>
      </c>
      <c r="F51" s="8">
        <v>110801</v>
      </c>
      <c r="G51" s="7">
        <v>0</v>
      </c>
      <c r="H51" s="7">
        <v>0</v>
      </c>
      <c r="I51" s="7">
        <v>59552</v>
      </c>
      <c r="J51" s="7">
        <v>0</v>
      </c>
      <c r="K51" s="7">
        <v>0</v>
      </c>
      <c r="L51" s="7">
        <v>51249</v>
      </c>
      <c r="M51" s="7">
        <v>0</v>
      </c>
    </row>
    <row r="52" spans="1:13" ht="24" x14ac:dyDescent="0.4">
      <c r="A52" s="6" t="s">
        <v>194</v>
      </c>
      <c r="B52" s="6" t="s">
        <v>32</v>
      </c>
      <c r="C52" s="6" t="s">
        <v>52</v>
      </c>
      <c r="D52" s="6" t="s">
        <v>58</v>
      </c>
      <c r="E52" s="6" t="s">
        <v>56</v>
      </c>
      <c r="F52" s="8">
        <v>0</v>
      </c>
      <c r="G52" s="7">
        <v>0</v>
      </c>
      <c r="H52" s="7">
        <v>0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</row>
    <row r="53" spans="1:13" ht="24" x14ac:dyDescent="0.4">
      <c r="A53" s="6" t="s">
        <v>244</v>
      </c>
      <c r="B53" s="6" t="s">
        <v>180</v>
      </c>
      <c r="C53" s="6" t="s">
        <v>52</v>
      </c>
      <c r="D53" s="6" t="s">
        <v>58</v>
      </c>
      <c r="E53" s="6" t="s">
        <v>56</v>
      </c>
      <c r="F53" s="8">
        <v>57585</v>
      </c>
      <c r="G53" s="7">
        <v>0</v>
      </c>
      <c r="H53" s="7">
        <v>36360</v>
      </c>
      <c r="I53" s="7">
        <v>0</v>
      </c>
      <c r="J53" s="7">
        <v>0</v>
      </c>
      <c r="K53" s="7">
        <v>0</v>
      </c>
      <c r="L53" s="7">
        <v>0</v>
      </c>
      <c r="M53" s="7">
        <v>21225</v>
      </c>
    </row>
    <row r="54" spans="1:13" ht="24" x14ac:dyDescent="0.4">
      <c r="A54" s="6" t="s">
        <v>215</v>
      </c>
      <c r="B54" s="6" t="s">
        <v>176</v>
      </c>
      <c r="C54" s="6" t="s">
        <v>52</v>
      </c>
      <c r="D54" s="6" t="s">
        <v>58</v>
      </c>
      <c r="E54" s="6" t="s">
        <v>56</v>
      </c>
      <c r="F54" s="8">
        <v>97894</v>
      </c>
      <c r="G54" s="7">
        <v>0</v>
      </c>
      <c r="H54" s="7">
        <v>97894</v>
      </c>
      <c r="I54" s="7">
        <v>0</v>
      </c>
      <c r="J54" s="7">
        <v>0</v>
      </c>
      <c r="K54" s="7">
        <v>0</v>
      </c>
      <c r="L54" s="7">
        <v>0</v>
      </c>
      <c r="M54" s="7">
        <v>0</v>
      </c>
    </row>
    <row r="55" spans="1:13" ht="24" x14ac:dyDescent="0.4">
      <c r="A55" s="6" t="s">
        <v>281</v>
      </c>
      <c r="B55" s="6" t="s">
        <v>160</v>
      </c>
      <c r="C55" s="6" t="s">
        <v>52</v>
      </c>
      <c r="D55" s="6" t="s">
        <v>163</v>
      </c>
      <c r="E55" s="6" t="s">
        <v>56</v>
      </c>
      <c r="F55" s="8">
        <v>14276</v>
      </c>
      <c r="G55" s="7">
        <v>0</v>
      </c>
      <c r="H55" s="7">
        <v>0</v>
      </c>
      <c r="I55" s="7">
        <v>14276</v>
      </c>
      <c r="J55" s="7">
        <v>0</v>
      </c>
      <c r="K55" s="7">
        <v>0</v>
      </c>
      <c r="L55" s="7">
        <v>0</v>
      </c>
      <c r="M55" s="7">
        <v>0</v>
      </c>
    </row>
    <row r="56" spans="1:13" ht="24" x14ac:dyDescent="0.4">
      <c r="A56" s="6" t="s">
        <v>243</v>
      </c>
      <c r="B56" s="6" t="s">
        <v>156</v>
      </c>
      <c r="C56" s="6" t="s">
        <v>52</v>
      </c>
      <c r="D56" s="6" t="s">
        <v>359</v>
      </c>
      <c r="E56" s="6" t="s">
        <v>56</v>
      </c>
      <c r="F56" s="8">
        <v>59307</v>
      </c>
      <c r="G56" s="7">
        <v>0</v>
      </c>
      <c r="H56" s="7">
        <v>0</v>
      </c>
      <c r="I56" s="7">
        <v>59307</v>
      </c>
      <c r="J56" s="7">
        <v>0</v>
      </c>
      <c r="K56" s="7">
        <v>0</v>
      </c>
      <c r="L56" s="7">
        <v>0</v>
      </c>
      <c r="M56" s="7">
        <v>0</v>
      </c>
    </row>
    <row r="57" spans="1:13" ht="24" x14ac:dyDescent="0.4">
      <c r="A57" s="6" t="s">
        <v>291</v>
      </c>
      <c r="B57" s="6" t="s">
        <v>144</v>
      </c>
      <c r="C57" s="6" t="s">
        <v>52</v>
      </c>
      <c r="D57" s="6" t="s">
        <v>140</v>
      </c>
      <c r="E57" s="6" t="s">
        <v>51</v>
      </c>
      <c r="F57" s="8">
        <v>647</v>
      </c>
      <c r="G57" s="7">
        <v>0</v>
      </c>
      <c r="H57" s="7">
        <v>0</v>
      </c>
      <c r="I57" s="7">
        <v>0</v>
      </c>
      <c r="J57" s="7">
        <v>647</v>
      </c>
      <c r="K57" s="7">
        <v>0</v>
      </c>
      <c r="L57" s="7">
        <v>0</v>
      </c>
      <c r="M57" s="7">
        <v>0</v>
      </c>
    </row>
    <row r="58" spans="1:13" ht="24" x14ac:dyDescent="0.4">
      <c r="A58" s="6" t="s">
        <v>275</v>
      </c>
      <c r="B58" s="6" t="s">
        <v>37</v>
      </c>
      <c r="C58" s="6" t="s">
        <v>52</v>
      </c>
      <c r="D58" s="6" t="s">
        <v>72</v>
      </c>
      <c r="E58" s="6" t="s">
        <v>51</v>
      </c>
      <c r="F58" s="8">
        <v>20478</v>
      </c>
      <c r="G58" s="7">
        <v>0</v>
      </c>
      <c r="H58" s="7">
        <v>0</v>
      </c>
      <c r="I58" s="7">
        <v>0</v>
      </c>
      <c r="J58" s="7">
        <v>0</v>
      </c>
      <c r="K58" s="7">
        <v>0</v>
      </c>
      <c r="L58" s="7">
        <v>0</v>
      </c>
      <c r="M58" s="7">
        <v>20478</v>
      </c>
    </row>
    <row r="59" spans="1:13" ht="24" x14ac:dyDescent="0.4">
      <c r="A59" s="6" t="s">
        <v>199</v>
      </c>
      <c r="B59" s="6" t="s">
        <v>17</v>
      </c>
      <c r="C59" s="6" t="s">
        <v>52</v>
      </c>
      <c r="D59" s="6" t="s">
        <v>67</v>
      </c>
      <c r="E59" s="6" t="s">
        <v>51</v>
      </c>
      <c r="F59" s="8">
        <v>31647</v>
      </c>
      <c r="G59" s="7">
        <v>31647</v>
      </c>
      <c r="H59" s="7">
        <v>0</v>
      </c>
      <c r="I59" s="7">
        <v>0</v>
      </c>
      <c r="J59" s="7">
        <v>0</v>
      </c>
      <c r="K59" s="7">
        <v>0</v>
      </c>
      <c r="L59" s="7">
        <v>0</v>
      </c>
      <c r="M59" s="7">
        <v>0</v>
      </c>
    </row>
    <row r="60" spans="1:13" ht="24" x14ac:dyDescent="0.4">
      <c r="A60" s="6" t="s">
        <v>235</v>
      </c>
      <c r="B60" s="6" t="s">
        <v>172</v>
      </c>
      <c r="C60" s="6" t="s">
        <v>52</v>
      </c>
      <c r="D60" s="6" t="s">
        <v>361</v>
      </c>
      <c r="E60" s="6" t="s">
        <v>51</v>
      </c>
      <c r="F60" s="8">
        <v>71516</v>
      </c>
      <c r="G60" s="7">
        <v>0</v>
      </c>
      <c r="H60" s="7">
        <v>71516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</row>
    <row r="61" spans="1:13" ht="24" x14ac:dyDescent="0.4">
      <c r="A61" s="6" t="s">
        <v>248</v>
      </c>
      <c r="B61" s="6" t="s">
        <v>142</v>
      </c>
      <c r="C61" s="6" t="s">
        <v>52</v>
      </c>
      <c r="D61" s="6" t="s">
        <v>347</v>
      </c>
      <c r="E61" s="6" t="s">
        <v>51</v>
      </c>
      <c r="F61" s="8">
        <v>0</v>
      </c>
      <c r="G61" s="7">
        <v>0</v>
      </c>
      <c r="H61" s="7">
        <v>0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</row>
    <row r="62" spans="1:13" ht="24" x14ac:dyDescent="0.4">
      <c r="A62" s="6" t="s">
        <v>252</v>
      </c>
      <c r="B62" s="6" t="s">
        <v>31</v>
      </c>
      <c r="C62" s="6" t="s">
        <v>52</v>
      </c>
      <c r="D62" s="6" t="s">
        <v>63</v>
      </c>
      <c r="E62" s="6" t="s">
        <v>51</v>
      </c>
      <c r="F62" s="8">
        <v>36027</v>
      </c>
      <c r="G62" s="7">
        <v>0</v>
      </c>
      <c r="H62" s="7">
        <v>0</v>
      </c>
      <c r="I62" s="7">
        <v>0</v>
      </c>
      <c r="J62" s="7">
        <v>14380</v>
      </c>
      <c r="K62" s="7">
        <v>0</v>
      </c>
      <c r="L62" s="7">
        <v>0</v>
      </c>
      <c r="M62" s="7">
        <v>21647</v>
      </c>
    </row>
    <row r="63" spans="1:13" ht="24" x14ac:dyDescent="0.4">
      <c r="A63" s="6" t="s">
        <v>242</v>
      </c>
      <c r="B63" s="6" t="s">
        <v>179</v>
      </c>
      <c r="C63" s="6" t="s">
        <v>52</v>
      </c>
      <c r="D63" s="6" t="s">
        <v>367</v>
      </c>
      <c r="E63" s="6" t="s">
        <v>51</v>
      </c>
      <c r="F63" s="8">
        <v>75260.28</v>
      </c>
      <c r="G63" s="7">
        <v>33192</v>
      </c>
      <c r="H63" s="7">
        <v>42068.28</v>
      </c>
      <c r="I63" s="7">
        <v>0</v>
      </c>
      <c r="J63" s="7">
        <v>0</v>
      </c>
      <c r="K63" s="7">
        <v>0</v>
      </c>
      <c r="L63" s="7">
        <v>0</v>
      </c>
      <c r="M63" s="7">
        <v>0</v>
      </c>
    </row>
    <row r="64" spans="1:13" ht="24" x14ac:dyDescent="0.4">
      <c r="A64" s="6" t="s">
        <v>222</v>
      </c>
      <c r="B64" s="6" t="s">
        <v>93</v>
      </c>
      <c r="C64" s="6" t="s">
        <v>116</v>
      </c>
      <c r="D64" s="6" t="s">
        <v>120</v>
      </c>
      <c r="E64" s="6" t="s">
        <v>51</v>
      </c>
      <c r="F64" s="8">
        <v>77460</v>
      </c>
      <c r="G64" s="7">
        <v>0</v>
      </c>
      <c r="H64" s="7">
        <v>0</v>
      </c>
      <c r="I64" s="7">
        <v>0</v>
      </c>
      <c r="J64" s="7">
        <v>0</v>
      </c>
      <c r="K64" s="7">
        <v>0</v>
      </c>
      <c r="L64" s="7">
        <v>77460</v>
      </c>
      <c r="M64" s="7">
        <v>0</v>
      </c>
    </row>
    <row r="65" spans="1:13" ht="24" x14ac:dyDescent="0.4">
      <c r="A65" s="6" t="s">
        <v>208</v>
      </c>
      <c r="B65" s="6" t="s">
        <v>92</v>
      </c>
      <c r="C65" s="6" t="s">
        <v>116</v>
      </c>
      <c r="D65" s="6" t="s">
        <v>120</v>
      </c>
      <c r="E65" s="6" t="s">
        <v>51</v>
      </c>
      <c r="F65" s="8">
        <v>154369</v>
      </c>
      <c r="G65" s="7">
        <v>0</v>
      </c>
      <c r="H65" s="7">
        <v>0</v>
      </c>
      <c r="I65" s="7">
        <v>0</v>
      </c>
      <c r="J65" s="7">
        <v>0</v>
      </c>
      <c r="K65" s="7">
        <v>67738</v>
      </c>
      <c r="L65" s="7">
        <v>86631</v>
      </c>
      <c r="M65" s="7">
        <v>0</v>
      </c>
    </row>
    <row r="66" spans="1:13" ht="24" x14ac:dyDescent="0.4">
      <c r="A66" s="6" t="s">
        <v>279</v>
      </c>
      <c r="B66" s="6" t="s">
        <v>39</v>
      </c>
      <c r="C66" s="6" t="s">
        <v>52</v>
      </c>
      <c r="D66" s="6" t="s">
        <v>60</v>
      </c>
      <c r="E66" s="6" t="s">
        <v>51</v>
      </c>
      <c r="F66" s="8">
        <v>14878</v>
      </c>
      <c r="G66" s="7">
        <v>0</v>
      </c>
      <c r="H66" s="7">
        <v>0</v>
      </c>
      <c r="I66" s="7">
        <v>0</v>
      </c>
      <c r="J66" s="7">
        <v>0</v>
      </c>
      <c r="K66" s="7">
        <v>14878</v>
      </c>
      <c r="L66" s="7">
        <v>0</v>
      </c>
      <c r="M66" s="7">
        <v>0</v>
      </c>
    </row>
    <row r="67" spans="1:13" ht="24" x14ac:dyDescent="0.4">
      <c r="A67" s="6" t="s">
        <v>262</v>
      </c>
      <c r="B67" s="6" t="s">
        <v>38</v>
      </c>
      <c r="C67" s="6" t="s">
        <v>52</v>
      </c>
      <c r="D67" s="6" t="s">
        <v>60</v>
      </c>
      <c r="E67" s="6" t="s">
        <v>51</v>
      </c>
      <c r="F67" s="8">
        <v>33871</v>
      </c>
      <c r="G67" s="7">
        <v>0</v>
      </c>
      <c r="H67" s="7">
        <v>0</v>
      </c>
      <c r="I67" s="7">
        <v>0</v>
      </c>
      <c r="J67" s="7">
        <v>0</v>
      </c>
      <c r="K67" s="7">
        <v>0</v>
      </c>
      <c r="L67" s="7">
        <v>0</v>
      </c>
      <c r="M67" s="7">
        <v>33871</v>
      </c>
    </row>
    <row r="68" spans="1:13" ht="24" x14ac:dyDescent="0.4">
      <c r="A68" s="6" t="s">
        <v>223</v>
      </c>
      <c r="B68" s="6" t="s">
        <v>111</v>
      </c>
      <c r="C68" s="6" t="s">
        <v>52</v>
      </c>
      <c r="D68" s="6" t="s">
        <v>60</v>
      </c>
      <c r="E68" s="6" t="s">
        <v>51</v>
      </c>
      <c r="F68" s="8">
        <v>92284</v>
      </c>
      <c r="G68" s="7">
        <v>0</v>
      </c>
      <c r="H68" s="7">
        <v>0</v>
      </c>
      <c r="I68" s="7">
        <v>0</v>
      </c>
      <c r="J68" s="7">
        <v>0</v>
      </c>
      <c r="K68" s="7">
        <v>92284</v>
      </c>
      <c r="L68" s="7">
        <v>0</v>
      </c>
      <c r="M68" s="7">
        <v>0</v>
      </c>
    </row>
    <row r="69" spans="1:13" ht="24" x14ac:dyDescent="0.4">
      <c r="A69" s="6" t="s">
        <v>233</v>
      </c>
      <c r="B69" s="6" t="s">
        <v>10</v>
      </c>
      <c r="C69" s="6" t="s">
        <v>52</v>
      </c>
      <c r="D69" s="6" t="s">
        <v>363</v>
      </c>
      <c r="E69" s="6" t="s">
        <v>51</v>
      </c>
      <c r="F69" s="8">
        <v>74414</v>
      </c>
      <c r="G69" s="7">
        <v>0</v>
      </c>
      <c r="H69" s="7">
        <v>0</v>
      </c>
      <c r="I69" s="7">
        <v>0</v>
      </c>
      <c r="J69" s="7">
        <v>63865</v>
      </c>
      <c r="K69" s="7">
        <v>0</v>
      </c>
      <c r="L69" s="7">
        <v>0</v>
      </c>
      <c r="M69" s="7">
        <v>10549</v>
      </c>
    </row>
    <row r="70" spans="1:13" ht="24" x14ac:dyDescent="0.4">
      <c r="A70" s="6" t="s">
        <v>227</v>
      </c>
      <c r="B70" s="6" t="s">
        <v>177</v>
      </c>
      <c r="C70" s="6" t="s">
        <v>52</v>
      </c>
      <c r="D70" s="6" t="s">
        <v>363</v>
      </c>
      <c r="E70" s="6" t="s">
        <v>51</v>
      </c>
      <c r="F70" s="8">
        <v>86185</v>
      </c>
      <c r="G70" s="7">
        <v>0</v>
      </c>
      <c r="H70" s="7">
        <v>86185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</row>
    <row r="71" spans="1:13" ht="24" x14ac:dyDescent="0.4">
      <c r="A71" s="6" t="s">
        <v>254</v>
      </c>
      <c r="B71" s="6" t="s">
        <v>158</v>
      </c>
      <c r="C71" s="6" t="s">
        <v>52</v>
      </c>
      <c r="D71" s="6" t="s">
        <v>357</v>
      </c>
      <c r="E71" s="6" t="s">
        <v>51</v>
      </c>
      <c r="F71" s="8">
        <v>44246</v>
      </c>
      <c r="G71" s="7">
        <v>0</v>
      </c>
      <c r="H71" s="7">
        <v>0</v>
      </c>
      <c r="I71" s="7">
        <v>44246</v>
      </c>
      <c r="J71" s="7">
        <v>0</v>
      </c>
      <c r="K71" s="7">
        <v>0</v>
      </c>
      <c r="L71" s="7">
        <v>0</v>
      </c>
      <c r="M71" s="7">
        <v>0</v>
      </c>
    </row>
    <row r="72" spans="1:13" ht="24" x14ac:dyDescent="0.4">
      <c r="A72" s="6" t="s">
        <v>204</v>
      </c>
      <c r="B72" s="6" t="s">
        <v>159</v>
      </c>
      <c r="C72" s="6" t="s">
        <v>52</v>
      </c>
      <c r="D72" s="6" t="s">
        <v>369</v>
      </c>
      <c r="E72" s="6" t="s">
        <v>51</v>
      </c>
      <c r="F72" s="8">
        <v>255650</v>
      </c>
      <c r="G72" s="7">
        <v>145600</v>
      </c>
      <c r="H72" s="7">
        <v>746</v>
      </c>
      <c r="I72" s="7">
        <v>109304</v>
      </c>
      <c r="J72" s="7">
        <v>0</v>
      </c>
      <c r="K72" s="7">
        <v>0</v>
      </c>
      <c r="L72" s="7">
        <v>0</v>
      </c>
      <c r="M72" s="7">
        <v>0</v>
      </c>
    </row>
    <row r="73" spans="1:13" ht="24" x14ac:dyDescent="0.4">
      <c r="A73" s="6" t="s">
        <v>196</v>
      </c>
      <c r="B73" s="6" t="s">
        <v>143</v>
      </c>
      <c r="C73" s="6" t="s">
        <v>52</v>
      </c>
      <c r="D73" s="6" t="s">
        <v>57</v>
      </c>
      <c r="E73" s="6" t="s">
        <v>51</v>
      </c>
      <c r="F73" s="8">
        <v>0</v>
      </c>
      <c r="G73" s="7">
        <v>0</v>
      </c>
      <c r="H73" s="7">
        <v>0</v>
      </c>
      <c r="I73" s="7">
        <v>0</v>
      </c>
      <c r="J73" s="7">
        <v>0</v>
      </c>
      <c r="K73" s="7">
        <v>0</v>
      </c>
      <c r="L73" s="7">
        <v>0</v>
      </c>
      <c r="M73" s="7">
        <v>0</v>
      </c>
    </row>
    <row r="74" spans="1:13" ht="24" x14ac:dyDescent="0.4">
      <c r="A74" s="6" t="s">
        <v>263</v>
      </c>
      <c r="B74" s="6" t="s">
        <v>44</v>
      </c>
      <c r="C74" s="6" t="s">
        <v>52</v>
      </c>
      <c r="D74" s="6" t="s">
        <v>57</v>
      </c>
      <c r="E74" s="6" t="s">
        <v>51</v>
      </c>
      <c r="F74" s="8">
        <v>31995</v>
      </c>
      <c r="G74" s="7">
        <v>0</v>
      </c>
      <c r="H74" s="7">
        <v>0</v>
      </c>
      <c r="I74" s="7">
        <v>0</v>
      </c>
      <c r="J74" s="7">
        <v>0</v>
      </c>
      <c r="K74" s="7">
        <v>0</v>
      </c>
      <c r="L74" s="7">
        <v>23297</v>
      </c>
      <c r="M74" s="7">
        <v>8698</v>
      </c>
    </row>
    <row r="75" spans="1:13" ht="24" x14ac:dyDescent="0.4">
      <c r="A75" s="6" t="s">
        <v>228</v>
      </c>
      <c r="B75" s="6" t="s">
        <v>16</v>
      </c>
      <c r="C75" s="6" t="s">
        <v>52</v>
      </c>
      <c r="D75" s="6" t="s">
        <v>57</v>
      </c>
      <c r="E75" s="6" t="s">
        <v>51</v>
      </c>
      <c r="F75" s="8">
        <v>84199</v>
      </c>
      <c r="G75" s="7">
        <v>0</v>
      </c>
      <c r="H75" s="7">
        <v>0</v>
      </c>
      <c r="I75" s="7">
        <v>0</v>
      </c>
      <c r="J75" s="7">
        <v>0</v>
      </c>
      <c r="K75" s="7">
        <v>0</v>
      </c>
      <c r="L75" s="7">
        <v>55474</v>
      </c>
      <c r="M75" s="7">
        <v>28725</v>
      </c>
    </row>
    <row r="76" spans="1:13" ht="24" x14ac:dyDescent="0.4">
      <c r="A76" s="6" t="s">
        <v>190</v>
      </c>
      <c r="B76" s="6" t="s">
        <v>100</v>
      </c>
      <c r="C76" s="6" t="s">
        <v>52</v>
      </c>
      <c r="D76" s="6" t="s">
        <v>129</v>
      </c>
      <c r="E76" s="6" t="s">
        <v>51</v>
      </c>
      <c r="F76" s="8">
        <v>0</v>
      </c>
      <c r="G76" s="7">
        <v>0</v>
      </c>
      <c r="H76" s="7">
        <v>0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</row>
    <row r="77" spans="1:13" ht="24" x14ac:dyDescent="0.4">
      <c r="A77" s="6" t="s">
        <v>274</v>
      </c>
      <c r="B77" s="6" t="s">
        <v>19</v>
      </c>
      <c r="C77" s="6" t="s">
        <v>52</v>
      </c>
      <c r="D77" s="6" t="s">
        <v>352</v>
      </c>
      <c r="E77" s="6" t="s">
        <v>51</v>
      </c>
      <c r="F77" s="8">
        <v>20883</v>
      </c>
      <c r="G77" s="7">
        <v>0</v>
      </c>
      <c r="H77" s="7">
        <v>0</v>
      </c>
      <c r="I77" s="7">
        <v>0</v>
      </c>
      <c r="J77" s="7">
        <v>0</v>
      </c>
      <c r="K77" s="7">
        <v>0</v>
      </c>
      <c r="L77" s="7">
        <v>0</v>
      </c>
      <c r="M77" s="7">
        <v>20883</v>
      </c>
    </row>
    <row r="78" spans="1:13" ht="24" x14ac:dyDescent="0.4">
      <c r="A78" s="6" t="s">
        <v>219</v>
      </c>
      <c r="B78" s="6" t="s">
        <v>96</v>
      </c>
      <c r="C78" s="6" t="s">
        <v>52</v>
      </c>
      <c r="D78" s="6" t="s">
        <v>122</v>
      </c>
      <c r="E78" s="6" t="s">
        <v>51</v>
      </c>
      <c r="F78" s="8">
        <v>105389</v>
      </c>
      <c r="G78" s="7">
        <v>0</v>
      </c>
      <c r="H78" s="7">
        <v>0</v>
      </c>
      <c r="I78" s="7">
        <v>0</v>
      </c>
      <c r="J78" s="7">
        <v>63774</v>
      </c>
      <c r="K78" s="7">
        <v>0</v>
      </c>
      <c r="L78" s="7">
        <v>41615</v>
      </c>
      <c r="M78" s="7">
        <v>0</v>
      </c>
    </row>
    <row r="79" spans="1:13" ht="24" x14ac:dyDescent="0.4">
      <c r="A79" s="6" t="s">
        <v>284</v>
      </c>
      <c r="B79" s="6" t="s">
        <v>134</v>
      </c>
      <c r="C79" s="6" t="s">
        <v>52</v>
      </c>
      <c r="D79" s="6" t="s">
        <v>71</v>
      </c>
      <c r="E79" s="6" t="s">
        <v>51</v>
      </c>
      <c r="F79" s="8">
        <v>10310</v>
      </c>
      <c r="G79" s="7">
        <v>0</v>
      </c>
      <c r="H79" s="7">
        <v>0</v>
      </c>
      <c r="I79" s="7">
        <v>0</v>
      </c>
      <c r="J79" s="7">
        <v>0</v>
      </c>
      <c r="K79" s="7">
        <v>10310</v>
      </c>
      <c r="L79" s="7">
        <v>0</v>
      </c>
      <c r="M79" s="7">
        <v>0</v>
      </c>
    </row>
    <row r="80" spans="1:13" ht="24" x14ac:dyDescent="0.4">
      <c r="A80" s="6" t="s">
        <v>258</v>
      </c>
      <c r="B80" s="6" t="s">
        <v>133</v>
      </c>
      <c r="C80" s="6" t="s">
        <v>52</v>
      </c>
      <c r="D80" s="6" t="s">
        <v>71</v>
      </c>
      <c r="E80" s="6" t="s">
        <v>51</v>
      </c>
      <c r="F80" s="8">
        <v>23872</v>
      </c>
      <c r="G80" s="7">
        <v>8163</v>
      </c>
      <c r="H80" s="7">
        <v>0</v>
      </c>
      <c r="I80" s="7">
        <v>0</v>
      </c>
      <c r="J80" s="7">
        <v>0</v>
      </c>
      <c r="K80" s="7">
        <v>15709</v>
      </c>
      <c r="L80" s="7">
        <v>0</v>
      </c>
      <c r="M80" s="7">
        <v>0</v>
      </c>
    </row>
    <row r="81" spans="1:13" ht="24" x14ac:dyDescent="0.4">
      <c r="A81" s="6" t="s">
        <v>231</v>
      </c>
      <c r="B81" s="6" t="s">
        <v>36</v>
      </c>
      <c r="C81" s="6" t="s">
        <v>52</v>
      </c>
      <c r="D81" s="6" t="s">
        <v>71</v>
      </c>
      <c r="E81" s="6" t="s">
        <v>51</v>
      </c>
      <c r="F81" s="8">
        <v>81916</v>
      </c>
      <c r="G81" s="7">
        <v>0</v>
      </c>
      <c r="H81" s="7">
        <v>0</v>
      </c>
      <c r="I81" s="7">
        <v>0</v>
      </c>
      <c r="J81" s="7">
        <v>0</v>
      </c>
      <c r="K81" s="7">
        <v>0</v>
      </c>
      <c r="L81" s="7">
        <v>0</v>
      </c>
      <c r="M81" s="7">
        <v>81916</v>
      </c>
    </row>
    <row r="82" spans="1:13" ht="24" x14ac:dyDescent="0.4">
      <c r="A82" s="6" t="s">
        <v>229</v>
      </c>
      <c r="B82" s="6" t="s">
        <v>22</v>
      </c>
      <c r="C82" s="6" t="s">
        <v>52</v>
      </c>
      <c r="D82" s="6" t="s">
        <v>368</v>
      </c>
      <c r="E82" s="6" t="s">
        <v>51</v>
      </c>
      <c r="F82" s="8">
        <v>198061</v>
      </c>
      <c r="G82" s="7">
        <v>147062</v>
      </c>
      <c r="H82" s="7">
        <v>50736</v>
      </c>
      <c r="I82" s="7">
        <v>0</v>
      </c>
      <c r="J82" s="7">
        <v>0</v>
      </c>
      <c r="K82" s="7">
        <v>0</v>
      </c>
      <c r="L82" s="7">
        <v>0</v>
      </c>
      <c r="M82" s="7">
        <v>263</v>
      </c>
    </row>
    <row r="83" spans="1:13" ht="24" x14ac:dyDescent="0.4">
      <c r="A83" s="6" t="s">
        <v>230</v>
      </c>
      <c r="B83" s="6" t="s">
        <v>178</v>
      </c>
      <c r="C83" s="6" t="s">
        <v>364</v>
      </c>
      <c r="D83" s="6" t="s">
        <v>365</v>
      </c>
      <c r="E83" s="6" t="s">
        <v>51</v>
      </c>
      <c r="F83" s="8">
        <v>82903</v>
      </c>
      <c r="G83" s="7">
        <v>0</v>
      </c>
      <c r="H83" s="7">
        <v>82903</v>
      </c>
      <c r="I83" s="7">
        <v>0</v>
      </c>
      <c r="J83" s="7">
        <v>0</v>
      </c>
      <c r="K83" s="7">
        <v>0</v>
      </c>
      <c r="L83" s="7">
        <v>0</v>
      </c>
      <c r="M83" s="7">
        <v>0</v>
      </c>
    </row>
    <row r="84" spans="1:13" ht="24" x14ac:dyDescent="0.4">
      <c r="A84" s="6" t="s">
        <v>324</v>
      </c>
      <c r="B84" s="6" t="s">
        <v>319</v>
      </c>
      <c r="C84" s="6" t="s">
        <v>337</v>
      </c>
      <c r="D84" s="6" t="s">
        <v>338</v>
      </c>
      <c r="E84" s="6" t="s">
        <v>51</v>
      </c>
      <c r="F84" s="8">
        <v>29907</v>
      </c>
      <c r="G84" s="7">
        <v>29907</v>
      </c>
      <c r="H84" s="7">
        <v>0</v>
      </c>
      <c r="I84" s="7">
        <v>0</v>
      </c>
      <c r="J84" s="7">
        <v>0</v>
      </c>
      <c r="K84" s="7">
        <v>0</v>
      </c>
      <c r="L84" s="7">
        <v>0</v>
      </c>
      <c r="M84" s="7">
        <v>0</v>
      </c>
    </row>
    <row r="85" spans="1:13" ht="24" x14ac:dyDescent="0.4">
      <c r="A85" s="6" t="s">
        <v>205</v>
      </c>
      <c r="B85" s="6" t="s">
        <v>104</v>
      </c>
      <c r="C85" s="6" t="s">
        <v>52</v>
      </c>
      <c r="D85" s="6" t="s">
        <v>118</v>
      </c>
      <c r="E85" s="6" t="s">
        <v>51</v>
      </c>
      <c r="F85" s="8">
        <v>205830</v>
      </c>
      <c r="G85" s="7">
        <v>0</v>
      </c>
      <c r="H85" s="7">
        <v>0</v>
      </c>
      <c r="I85" s="7">
        <v>205830</v>
      </c>
      <c r="J85" s="7">
        <v>0</v>
      </c>
      <c r="K85" s="7">
        <v>0</v>
      </c>
      <c r="L85" s="7">
        <v>0</v>
      </c>
      <c r="M85" s="7">
        <v>0</v>
      </c>
    </row>
    <row r="86" spans="1:13" ht="24" x14ac:dyDescent="0.4">
      <c r="A86" s="6" t="s">
        <v>276</v>
      </c>
      <c r="B86" s="6" t="s">
        <v>145</v>
      </c>
      <c r="C86" s="6" t="s">
        <v>52</v>
      </c>
      <c r="D86" s="6" t="s">
        <v>356</v>
      </c>
      <c r="E86" s="6" t="s">
        <v>51</v>
      </c>
      <c r="F86" s="8">
        <v>40195</v>
      </c>
      <c r="G86" s="7">
        <v>40195</v>
      </c>
      <c r="H86" s="7">
        <v>0</v>
      </c>
      <c r="I86" s="7">
        <v>0</v>
      </c>
      <c r="J86" s="7">
        <v>0</v>
      </c>
      <c r="K86" s="7">
        <v>0</v>
      </c>
      <c r="L86" s="7">
        <v>0</v>
      </c>
      <c r="M86" s="7">
        <v>0</v>
      </c>
    </row>
    <row r="87" spans="1:13" ht="24" x14ac:dyDescent="0.4">
      <c r="A87" s="6" t="s">
        <v>267</v>
      </c>
      <c r="B87" s="6" t="s">
        <v>95</v>
      </c>
      <c r="C87" s="6" t="s">
        <v>52</v>
      </c>
      <c r="D87" s="6" t="s">
        <v>355</v>
      </c>
      <c r="E87" s="6" t="s">
        <v>51</v>
      </c>
      <c r="F87" s="8">
        <v>31647</v>
      </c>
      <c r="G87" s="7">
        <v>0</v>
      </c>
      <c r="H87" s="7">
        <v>0</v>
      </c>
      <c r="I87" s="7">
        <v>0</v>
      </c>
      <c r="J87" s="7">
        <v>0</v>
      </c>
      <c r="K87" s="7">
        <v>0</v>
      </c>
      <c r="L87" s="7">
        <v>31647</v>
      </c>
      <c r="M87" s="7">
        <v>0</v>
      </c>
    </row>
    <row r="88" spans="1:13" ht="24" x14ac:dyDescent="0.4">
      <c r="A88" s="6" t="s">
        <v>224</v>
      </c>
      <c r="B88" s="6" t="s">
        <v>85</v>
      </c>
      <c r="C88" s="6" t="s">
        <v>52</v>
      </c>
      <c r="D88" s="6" t="s">
        <v>355</v>
      </c>
      <c r="E88" s="6" t="s">
        <v>51</v>
      </c>
      <c r="F88" s="8">
        <v>92095</v>
      </c>
      <c r="G88" s="7">
        <v>0</v>
      </c>
      <c r="H88" s="7">
        <v>71392</v>
      </c>
      <c r="I88" s="7">
        <v>0</v>
      </c>
      <c r="J88" s="7">
        <v>20620</v>
      </c>
      <c r="K88" s="7">
        <v>0</v>
      </c>
      <c r="L88" s="7">
        <v>83</v>
      </c>
      <c r="M88" s="7">
        <v>0</v>
      </c>
    </row>
    <row r="89" spans="1:13" ht="24" x14ac:dyDescent="0.4">
      <c r="A89" s="6" t="s">
        <v>206</v>
      </c>
      <c r="B89" s="6" t="s">
        <v>6</v>
      </c>
      <c r="C89" s="6" t="s">
        <v>52</v>
      </c>
      <c r="D89" s="6" t="s">
        <v>355</v>
      </c>
      <c r="E89" s="6" t="s">
        <v>51</v>
      </c>
      <c r="F89" s="8">
        <v>239295</v>
      </c>
      <c r="G89" s="7">
        <v>55636</v>
      </c>
      <c r="H89" s="7">
        <v>0</v>
      </c>
      <c r="I89" s="7">
        <v>17358</v>
      </c>
      <c r="J89" s="7">
        <v>86301</v>
      </c>
      <c r="K89" s="7">
        <v>80000</v>
      </c>
      <c r="L89" s="7">
        <v>0</v>
      </c>
      <c r="M89" s="7">
        <v>0</v>
      </c>
    </row>
    <row r="90" spans="1:13" ht="24" x14ac:dyDescent="0.4">
      <c r="A90" s="6" t="s">
        <v>315</v>
      </c>
      <c r="B90" s="6" t="s">
        <v>303</v>
      </c>
      <c r="C90" s="6" t="s">
        <v>52</v>
      </c>
      <c r="D90" s="6" t="s">
        <v>334</v>
      </c>
      <c r="E90" s="6" t="s">
        <v>51</v>
      </c>
      <c r="F90" s="8">
        <v>23900</v>
      </c>
      <c r="G90" s="7">
        <v>23900</v>
      </c>
      <c r="H90" s="7">
        <v>0</v>
      </c>
      <c r="I90" s="7">
        <v>0</v>
      </c>
      <c r="J90" s="7">
        <v>0</v>
      </c>
      <c r="K90" s="7">
        <v>0</v>
      </c>
      <c r="L90" s="7">
        <v>0</v>
      </c>
      <c r="M90" s="7">
        <v>0</v>
      </c>
    </row>
    <row r="91" spans="1:13" ht="24" x14ac:dyDescent="0.4">
      <c r="A91" s="6" t="s">
        <v>209</v>
      </c>
      <c r="B91" s="6" t="s">
        <v>35</v>
      </c>
      <c r="C91" s="6" t="s">
        <v>52</v>
      </c>
      <c r="D91" s="6" t="s">
        <v>69</v>
      </c>
      <c r="E91" s="6" t="s">
        <v>51</v>
      </c>
      <c r="F91" s="8">
        <v>143484</v>
      </c>
      <c r="G91" s="7">
        <v>0</v>
      </c>
      <c r="H91" s="7">
        <v>0</v>
      </c>
      <c r="I91" s="7">
        <v>46674</v>
      </c>
      <c r="J91" s="7">
        <v>0</v>
      </c>
      <c r="K91" s="7">
        <v>0</v>
      </c>
      <c r="L91" s="7">
        <v>0</v>
      </c>
      <c r="M91" s="7">
        <v>96810</v>
      </c>
    </row>
    <row r="92" spans="1:13" ht="24" x14ac:dyDescent="0.4">
      <c r="A92" s="6" t="s">
        <v>251</v>
      </c>
      <c r="B92" s="6" t="s">
        <v>43</v>
      </c>
      <c r="C92" s="6" t="s">
        <v>52</v>
      </c>
      <c r="D92" s="6" t="s">
        <v>75</v>
      </c>
      <c r="E92" s="6" t="s">
        <v>51</v>
      </c>
      <c r="F92" s="8">
        <v>17620</v>
      </c>
      <c r="G92" s="7">
        <v>0</v>
      </c>
      <c r="H92" s="7">
        <v>0</v>
      </c>
      <c r="I92" s="7">
        <v>0</v>
      </c>
      <c r="J92" s="7">
        <v>0</v>
      </c>
      <c r="K92" s="7">
        <v>0</v>
      </c>
      <c r="L92" s="7">
        <v>0</v>
      </c>
      <c r="M92" s="7">
        <v>17620</v>
      </c>
    </row>
    <row r="93" spans="1:13" ht="24" x14ac:dyDescent="0.4">
      <c r="A93" s="6" t="s">
        <v>253</v>
      </c>
      <c r="B93" s="6" t="s">
        <v>12</v>
      </c>
      <c r="C93" s="6" t="s">
        <v>52</v>
      </c>
      <c r="D93" s="6" t="s">
        <v>64</v>
      </c>
      <c r="E93" s="6" t="s">
        <v>51</v>
      </c>
      <c r="F93" s="8">
        <v>45261</v>
      </c>
      <c r="G93" s="7">
        <v>0</v>
      </c>
      <c r="H93" s="7">
        <v>0</v>
      </c>
      <c r="I93" s="7">
        <v>0</v>
      </c>
      <c r="J93" s="7">
        <v>36339</v>
      </c>
      <c r="K93" s="7">
        <v>7986</v>
      </c>
      <c r="L93" s="7">
        <v>936</v>
      </c>
      <c r="M93" s="7">
        <v>0</v>
      </c>
    </row>
    <row r="94" spans="1:13" ht="24" x14ac:dyDescent="0.4">
      <c r="A94" s="6" t="s">
        <v>197</v>
      </c>
      <c r="B94" s="6" t="s">
        <v>84</v>
      </c>
      <c r="C94" s="6" t="s">
        <v>50</v>
      </c>
      <c r="D94" s="6" t="s">
        <v>64</v>
      </c>
      <c r="E94" s="6" t="s">
        <v>51</v>
      </c>
      <c r="F94" s="8">
        <v>0</v>
      </c>
      <c r="G94" s="7">
        <v>0</v>
      </c>
      <c r="H94" s="7">
        <v>0</v>
      </c>
      <c r="I94" s="7">
        <v>0</v>
      </c>
      <c r="J94" s="7">
        <v>0</v>
      </c>
      <c r="K94" s="7">
        <v>0</v>
      </c>
      <c r="L94" s="7">
        <v>0</v>
      </c>
      <c r="M94" s="7">
        <v>0</v>
      </c>
    </row>
    <row r="95" spans="1:13" ht="24" x14ac:dyDescent="0.4">
      <c r="A95" s="6" t="s">
        <v>246</v>
      </c>
      <c r="B95" s="6" t="s">
        <v>162</v>
      </c>
      <c r="C95" s="6" t="s">
        <v>52</v>
      </c>
      <c r="D95" s="6" t="s">
        <v>358</v>
      </c>
      <c r="E95" s="6" t="s">
        <v>51</v>
      </c>
      <c r="F95" s="8">
        <v>53721</v>
      </c>
      <c r="G95" s="7">
        <v>0</v>
      </c>
      <c r="H95" s="7">
        <v>0</v>
      </c>
      <c r="I95" s="7">
        <v>53721</v>
      </c>
      <c r="J95" s="7">
        <v>0</v>
      </c>
      <c r="K95" s="7">
        <v>0</v>
      </c>
      <c r="L95" s="7">
        <v>0</v>
      </c>
      <c r="M95" s="7">
        <v>0</v>
      </c>
    </row>
    <row r="96" spans="1:13" ht="24" x14ac:dyDescent="0.4">
      <c r="A96" s="6" t="s">
        <v>260</v>
      </c>
      <c r="B96" s="6" t="s">
        <v>91</v>
      </c>
      <c r="C96" s="6" t="s">
        <v>52</v>
      </c>
      <c r="D96" s="6" t="s">
        <v>126</v>
      </c>
      <c r="E96" s="6" t="s">
        <v>51</v>
      </c>
      <c r="F96" s="8">
        <v>377</v>
      </c>
      <c r="G96" s="7">
        <v>0</v>
      </c>
      <c r="H96" s="7">
        <v>0</v>
      </c>
      <c r="I96" s="7">
        <v>0</v>
      </c>
      <c r="J96" s="7">
        <v>0</v>
      </c>
      <c r="K96" s="7">
        <v>0</v>
      </c>
      <c r="L96" s="7">
        <v>377</v>
      </c>
      <c r="M96" s="7">
        <v>0</v>
      </c>
    </row>
    <row r="97" spans="1:13" s="10" customFormat="1" ht="22.5" customHeight="1" x14ac:dyDescent="0.4">
      <c r="A97" s="6" t="s">
        <v>247</v>
      </c>
      <c r="B97" s="6" t="s">
        <v>102</v>
      </c>
      <c r="C97" s="6" t="s">
        <v>52</v>
      </c>
      <c r="D97" s="6" t="s">
        <v>123</v>
      </c>
      <c r="E97" s="6" t="s">
        <v>51</v>
      </c>
      <c r="F97" s="8">
        <v>53548</v>
      </c>
      <c r="G97" s="7">
        <v>0</v>
      </c>
      <c r="H97" s="7">
        <v>0</v>
      </c>
      <c r="I97" s="7">
        <v>0</v>
      </c>
      <c r="J97" s="7">
        <v>0</v>
      </c>
      <c r="K97" s="7">
        <v>53548</v>
      </c>
      <c r="L97" s="7">
        <v>0</v>
      </c>
      <c r="M97" s="7">
        <v>0</v>
      </c>
    </row>
    <row r="98" spans="1:13" s="10" customFormat="1" ht="24" x14ac:dyDescent="0.4">
      <c r="A98" s="6" t="s">
        <v>326</v>
      </c>
      <c r="B98" s="6" t="s">
        <v>321</v>
      </c>
      <c r="C98" s="6" t="s">
        <v>52</v>
      </c>
      <c r="D98" s="6" t="s">
        <v>341</v>
      </c>
      <c r="E98" s="6" t="s">
        <v>51</v>
      </c>
      <c r="F98" s="8">
        <v>70068</v>
      </c>
      <c r="G98" s="7">
        <v>70068</v>
      </c>
      <c r="H98" s="7">
        <v>0</v>
      </c>
      <c r="I98" s="7">
        <v>0</v>
      </c>
      <c r="J98" s="7">
        <v>0</v>
      </c>
      <c r="K98" s="7">
        <v>0</v>
      </c>
      <c r="L98" s="7">
        <v>0</v>
      </c>
      <c r="M98" s="7">
        <v>0</v>
      </c>
    </row>
    <row r="99" spans="1:13" s="11" customFormat="1" ht="24" x14ac:dyDescent="0.4">
      <c r="A99" s="6" t="s">
        <v>261</v>
      </c>
      <c r="B99" s="6" t="s">
        <v>161</v>
      </c>
      <c r="C99" s="6" t="s">
        <v>52</v>
      </c>
      <c r="D99" s="6" t="s">
        <v>164</v>
      </c>
      <c r="E99" s="6" t="s">
        <v>51</v>
      </c>
      <c r="F99" s="8">
        <v>34317</v>
      </c>
      <c r="G99" s="7">
        <v>0</v>
      </c>
      <c r="H99" s="7">
        <v>0</v>
      </c>
      <c r="I99" s="7">
        <v>34317</v>
      </c>
      <c r="J99" s="7">
        <v>0</v>
      </c>
      <c r="K99" s="7">
        <v>0</v>
      </c>
      <c r="L99" s="7">
        <v>0</v>
      </c>
      <c r="M99" s="7">
        <v>0</v>
      </c>
    </row>
    <row r="100" spans="1:13" s="12" customFormat="1" ht="24" x14ac:dyDescent="0.4">
      <c r="A100" s="6" t="s">
        <v>188</v>
      </c>
      <c r="B100" s="6" t="s">
        <v>76</v>
      </c>
      <c r="C100" s="6" t="s">
        <v>52</v>
      </c>
      <c r="D100" s="6" t="s">
        <v>53</v>
      </c>
      <c r="E100" s="6" t="s">
        <v>51</v>
      </c>
      <c r="F100" s="8">
        <v>0</v>
      </c>
      <c r="G100" s="7">
        <v>0</v>
      </c>
      <c r="H100" s="7">
        <v>0</v>
      </c>
      <c r="I100" s="7">
        <v>0</v>
      </c>
      <c r="J100" s="7">
        <v>0</v>
      </c>
      <c r="K100" s="7">
        <v>0</v>
      </c>
      <c r="L100" s="7">
        <v>0</v>
      </c>
      <c r="M100" s="7">
        <v>0</v>
      </c>
    </row>
    <row r="101" spans="1:13" s="13" customFormat="1" ht="24" x14ac:dyDescent="0.4">
      <c r="A101" s="6" t="s">
        <v>240</v>
      </c>
      <c r="B101" s="6" t="s">
        <v>13</v>
      </c>
      <c r="C101" s="6" t="s">
        <v>52</v>
      </c>
      <c r="D101" s="6" t="s">
        <v>53</v>
      </c>
      <c r="E101" s="6" t="s">
        <v>51</v>
      </c>
      <c r="F101" s="8">
        <v>66046</v>
      </c>
      <c r="G101" s="7">
        <v>0</v>
      </c>
      <c r="H101" s="7">
        <v>0</v>
      </c>
      <c r="I101" s="7">
        <v>35500</v>
      </c>
      <c r="J101" s="7">
        <v>0</v>
      </c>
      <c r="K101" s="7">
        <v>0</v>
      </c>
      <c r="L101" s="7">
        <v>30546</v>
      </c>
      <c r="M101" s="7">
        <v>0</v>
      </c>
    </row>
    <row r="102" spans="1:13" s="13" customFormat="1" ht="24" x14ac:dyDescent="0.4">
      <c r="A102" s="6" t="s">
        <v>187</v>
      </c>
      <c r="B102" s="6" t="s">
        <v>184</v>
      </c>
      <c r="C102" s="6" t="s">
        <v>52</v>
      </c>
      <c r="D102" s="6" t="s">
        <v>53</v>
      </c>
      <c r="E102" s="6" t="s">
        <v>51</v>
      </c>
      <c r="F102" s="8">
        <v>0</v>
      </c>
      <c r="G102" s="7">
        <v>0</v>
      </c>
      <c r="H102" s="7">
        <v>0</v>
      </c>
      <c r="I102" s="7">
        <v>0</v>
      </c>
      <c r="J102" s="7">
        <v>0</v>
      </c>
      <c r="K102" s="7">
        <v>0</v>
      </c>
      <c r="L102" s="7">
        <v>0</v>
      </c>
      <c r="M102" s="7">
        <v>0</v>
      </c>
    </row>
    <row r="103" spans="1:13" s="13" customFormat="1" ht="24" x14ac:dyDescent="0.4">
      <c r="A103" s="6" t="s">
        <v>191</v>
      </c>
      <c r="B103" s="6" t="s">
        <v>183</v>
      </c>
      <c r="C103" s="6" t="s">
        <v>52</v>
      </c>
      <c r="D103" s="6" t="s">
        <v>53</v>
      </c>
      <c r="E103" s="6" t="s">
        <v>51</v>
      </c>
      <c r="F103" s="8">
        <v>0</v>
      </c>
      <c r="G103" s="7">
        <v>0</v>
      </c>
      <c r="H103" s="7">
        <v>0</v>
      </c>
      <c r="I103" s="7">
        <v>0</v>
      </c>
      <c r="J103" s="7">
        <v>0</v>
      </c>
      <c r="K103" s="7">
        <v>0</v>
      </c>
      <c r="L103" s="7">
        <v>0</v>
      </c>
      <c r="M103" s="7">
        <v>0</v>
      </c>
    </row>
    <row r="104" spans="1:13" s="13" customFormat="1" ht="24" x14ac:dyDescent="0.4">
      <c r="A104" s="6" t="s">
        <v>192</v>
      </c>
      <c r="B104" s="6" t="s">
        <v>185</v>
      </c>
      <c r="C104" s="6" t="s">
        <v>52</v>
      </c>
      <c r="D104" s="6" t="s">
        <v>53</v>
      </c>
      <c r="E104" s="6" t="s">
        <v>51</v>
      </c>
      <c r="F104" s="8">
        <v>0</v>
      </c>
      <c r="G104" s="7">
        <v>0</v>
      </c>
      <c r="H104" s="7">
        <v>0</v>
      </c>
      <c r="I104" s="7">
        <v>0</v>
      </c>
      <c r="J104" s="7">
        <v>0</v>
      </c>
      <c r="K104" s="7">
        <v>0</v>
      </c>
      <c r="L104" s="7">
        <v>0</v>
      </c>
      <c r="M104" s="7">
        <v>0</v>
      </c>
    </row>
    <row r="105" spans="1:13" s="13" customFormat="1" ht="24" x14ac:dyDescent="0.4">
      <c r="A105" s="6" t="s">
        <v>283</v>
      </c>
      <c r="B105" s="6" t="s">
        <v>186</v>
      </c>
      <c r="C105" s="6" t="s">
        <v>52</v>
      </c>
      <c r="D105" s="6" t="s">
        <v>53</v>
      </c>
      <c r="E105" s="6" t="s">
        <v>51</v>
      </c>
      <c r="F105" s="8">
        <v>0</v>
      </c>
      <c r="G105" s="7">
        <v>0</v>
      </c>
      <c r="H105" s="7">
        <v>0</v>
      </c>
      <c r="I105" s="7">
        <v>0</v>
      </c>
      <c r="J105" s="7">
        <v>0</v>
      </c>
      <c r="K105" s="7">
        <v>0</v>
      </c>
      <c r="L105" s="7">
        <v>0</v>
      </c>
      <c r="M105" s="7">
        <v>0</v>
      </c>
    </row>
    <row r="106" spans="1:13" s="13" customFormat="1" ht="24" x14ac:dyDescent="0.4">
      <c r="A106" s="6" t="s">
        <v>207</v>
      </c>
      <c r="B106" s="6" t="s">
        <v>131</v>
      </c>
      <c r="C106" s="6" t="s">
        <v>117</v>
      </c>
      <c r="D106" s="6" t="s">
        <v>132</v>
      </c>
      <c r="E106" s="6" t="s">
        <v>51</v>
      </c>
      <c r="F106" s="8">
        <v>176345</v>
      </c>
      <c r="G106" s="7">
        <v>0</v>
      </c>
      <c r="H106" s="7">
        <v>0</v>
      </c>
      <c r="I106" s="7">
        <v>145087</v>
      </c>
      <c r="J106" s="7">
        <v>0</v>
      </c>
      <c r="K106" s="7">
        <v>31258</v>
      </c>
      <c r="L106" s="7">
        <v>0</v>
      </c>
      <c r="M106" s="7">
        <v>0</v>
      </c>
    </row>
    <row r="107" spans="1:13" s="15" customFormat="1" ht="24" x14ac:dyDescent="0.4">
      <c r="A107" s="6" t="s">
        <v>241</v>
      </c>
      <c r="B107" s="6" t="s">
        <v>14</v>
      </c>
      <c r="C107" s="6" t="s">
        <v>52</v>
      </c>
      <c r="D107" s="6" t="s">
        <v>360</v>
      </c>
      <c r="E107" s="6" t="s">
        <v>51</v>
      </c>
      <c r="F107" s="8">
        <v>64665</v>
      </c>
      <c r="G107" s="7">
        <v>46703</v>
      </c>
      <c r="H107" s="7">
        <v>0</v>
      </c>
      <c r="I107" s="7">
        <v>0</v>
      </c>
      <c r="J107" s="7">
        <v>0</v>
      </c>
      <c r="K107" s="7">
        <v>17962</v>
      </c>
      <c r="L107" s="7">
        <v>0</v>
      </c>
      <c r="M107" s="7">
        <v>0</v>
      </c>
    </row>
    <row r="108" spans="1:13" s="16" customFormat="1" ht="24" x14ac:dyDescent="0.4">
      <c r="A108" s="6" t="s">
        <v>189</v>
      </c>
      <c r="B108" s="6" t="s">
        <v>79</v>
      </c>
      <c r="C108" s="6" t="s">
        <v>52</v>
      </c>
      <c r="D108" s="6" t="s">
        <v>87</v>
      </c>
      <c r="E108" s="6" t="s">
        <v>51</v>
      </c>
      <c r="F108" s="8">
        <v>0</v>
      </c>
      <c r="G108" s="7">
        <v>0</v>
      </c>
      <c r="H108" s="7">
        <v>0</v>
      </c>
      <c r="I108" s="7">
        <v>0</v>
      </c>
      <c r="J108" s="7">
        <v>0</v>
      </c>
      <c r="K108" s="7">
        <v>0</v>
      </c>
      <c r="L108" s="7">
        <v>0</v>
      </c>
      <c r="M108" s="7">
        <v>0</v>
      </c>
    </row>
    <row r="109" spans="1:13" s="16" customFormat="1" ht="24" x14ac:dyDescent="0.4">
      <c r="A109" s="6" t="s">
        <v>201</v>
      </c>
      <c r="B109" s="6" t="s">
        <v>78</v>
      </c>
      <c r="C109" s="6" t="s">
        <v>52</v>
      </c>
      <c r="D109" s="6" t="s">
        <v>87</v>
      </c>
      <c r="E109" s="6" t="s">
        <v>51</v>
      </c>
      <c r="F109" s="8">
        <v>404427</v>
      </c>
      <c r="G109" s="7">
        <v>0</v>
      </c>
      <c r="H109" s="7">
        <v>197150</v>
      </c>
      <c r="I109" s="7">
        <v>0</v>
      </c>
      <c r="J109" s="7">
        <v>192277</v>
      </c>
      <c r="K109" s="7">
        <v>15000</v>
      </c>
      <c r="L109" s="7">
        <v>0</v>
      </c>
      <c r="M109" s="7">
        <v>0</v>
      </c>
    </row>
    <row r="110" spans="1:13" s="16" customFormat="1" ht="24" x14ac:dyDescent="0.4">
      <c r="A110" s="6" t="s">
        <v>307</v>
      </c>
      <c r="B110" s="6" t="s">
        <v>295</v>
      </c>
      <c r="C110" s="6" t="s">
        <v>52</v>
      </c>
      <c r="D110" s="6" t="s">
        <v>339</v>
      </c>
      <c r="E110" s="6" t="s">
        <v>51</v>
      </c>
      <c r="F110" s="8">
        <v>54656</v>
      </c>
      <c r="G110" s="7">
        <v>54656</v>
      </c>
      <c r="H110" s="7">
        <v>0</v>
      </c>
      <c r="I110" s="7">
        <v>0</v>
      </c>
      <c r="J110" s="7">
        <v>0</v>
      </c>
      <c r="K110" s="7">
        <v>0</v>
      </c>
      <c r="L110" s="7">
        <v>0</v>
      </c>
      <c r="M110" s="7">
        <v>0</v>
      </c>
    </row>
    <row r="111" spans="1:13" s="16" customFormat="1" ht="24" x14ac:dyDescent="0.4">
      <c r="A111" s="6" t="s">
        <v>282</v>
      </c>
      <c r="B111" s="6" t="s">
        <v>109</v>
      </c>
      <c r="C111" s="6" t="s">
        <v>52</v>
      </c>
      <c r="D111" s="6" t="s">
        <v>152</v>
      </c>
      <c r="E111" s="6" t="s">
        <v>51</v>
      </c>
      <c r="F111" s="8">
        <v>13806</v>
      </c>
      <c r="G111" s="7">
        <v>0</v>
      </c>
      <c r="H111" s="7">
        <v>0</v>
      </c>
      <c r="I111" s="7">
        <v>13257</v>
      </c>
      <c r="J111" s="7">
        <v>0</v>
      </c>
      <c r="K111" s="7">
        <v>549</v>
      </c>
      <c r="L111" s="7">
        <v>0</v>
      </c>
      <c r="M111" s="7">
        <v>0</v>
      </c>
    </row>
    <row r="112" spans="1:13" s="17" customFormat="1" ht="24" x14ac:dyDescent="0.4">
      <c r="A112" s="6" t="s">
        <v>250</v>
      </c>
      <c r="B112" s="6" t="s">
        <v>138</v>
      </c>
      <c r="C112" s="6" t="s">
        <v>52</v>
      </c>
      <c r="D112" s="6" t="s">
        <v>152</v>
      </c>
      <c r="E112" s="6" t="s">
        <v>51</v>
      </c>
      <c r="F112" s="8">
        <v>50829</v>
      </c>
      <c r="G112" s="7">
        <v>49343</v>
      </c>
      <c r="H112" s="7">
        <v>0</v>
      </c>
      <c r="I112" s="7">
        <v>0</v>
      </c>
      <c r="J112" s="7">
        <v>0</v>
      </c>
      <c r="K112" s="7">
        <v>1486</v>
      </c>
      <c r="L112" s="7">
        <v>0</v>
      </c>
      <c r="M112" s="7">
        <v>0</v>
      </c>
    </row>
    <row r="113" spans="1:13" s="17" customFormat="1" ht="24" x14ac:dyDescent="0.4">
      <c r="A113" s="6" t="s">
        <v>212</v>
      </c>
      <c r="B113" s="6" t="s">
        <v>81</v>
      </c>
      <c r="C113" s="6" t="s">
        <v>52</v>
      </c>
      <c r="D113" s="6" t="s">
        <v>152</v>
      </c>
      <c r="E113" s="6" t="s">
        <v>51</v>
      </c>
      <c r="F113" s="8">
        <v>137570</v>
      </c>
      <c r="G113" s="7">
        <v>0</v>
      </c>
      <c r="H113" s="7">
        <v>103645</v>
      </c>
      <c r="I113" s="7">
        <v>0</v>
      </c>
      <c r="J113" s="7">
        <v>0</v>
      </c>
      <c r="K113" s="7">
        <v>0</v>
      </c>
      <c r="L113" s="7">
        <v>33925</v>
      </c>
      <c r="M113" s="7">
        <v>0</v>
      </c>
    </row>
    <row r="114" spans="1:13" s="17" customFormat="1" ht="24" x14ac:dyDescent="0.4">
      <c r="A114" s="6" t="s">
        <v>232</v>
      </c>
      <c r="B114" s="6" t="s">
        <v>167</v>
      </c>
      <c r="C114" s="6" t="s">
        <v>52</v>
      </c>
      <c r="D114" s="6" t="s">
        <v>182</v>
      </c>
      <c r="E114" s="6" t="s">
        <v>51</v>
      </c>
      <c r="F114" s="8">
        <v>76785</v>
      </c>
      <c r="G114" s="7">
        <v>0</v>
      </c>
      <c r="H114" s="7">
        <v>0</v>
      </c>
      <c r="I114" s="7">
        <v>76785</v>
      </c>
      <c r="J114" s="7">
        <v>0</v>
      </c>
      <c r="K114" s="7">
        <v>0</v>
      </c>
      <c r="L114" s="7">
        <v>0</v>
      </c>
      <c r="M114" s="7">
        <v>0</v>
      </c>
    </row>
    <row r="115" spans="1:13" s="17" customFormat="1" ht="24" x14ac:dyDescent="0.4">
      <c r="A115" s="6" t="s">
        <v>325</v>
      </c>
      <c r="B115" s="6" t="s">
        <v>320</v>
      </c>
      <c r="C115" s="6" t="s">
        <v>52</v>
      </c>
      <c r="D115" s="6" t="s">
        <v>330</v>
      </c>
      <c r="E115" s="6" t="s">
        <v>51</v>
      </c>
      <c r="F115" s="8">
        <v>9195</v>
      </c>
      <c r="G115" s="7">
        <v>9195</v>
      </c>
      <c r="H115" s="7">
        <v>0</v>
      </c>
      <c r="I115" s="7">
        <v>0</v>
      </c>
      <c r="J115" s="7">
        <v>0</v>
      </c>
      <c r="K115" s="7">
        <v>0</v>
      </c>
      <c r="L115" s="7">
        <v>0</v>
      </c>
      <c r="M115" s="7">
        <v>0</v>
      </c>
    </row>
    <row r="116" spans="1:13" s="17" customFormat="1" ht="24" x14ac:dyDescent="0.4">
      <c r="A116" s="6" t="s">
        <v>288</v>
      </c>
      <c r="B116" s="6" t="s">
        <v>28</v>
      </c>
      <c r="C116" s="6" t="s">
        <v>52</v>
      </c>
      <c r="D116" s="6" t="s">
        <v>66</v>
      </c>
      <c r="E116" s="6" t="s">
        <v>51</v>
      </c>
      <c r="F116" s="8">
        <v>7380</v>
      </c>
      <c r="G116" s="7">
        <v>0</v>
      </c>
      <c r="H116" s="7">
        <v>0</v>
      </c>
      <c r="I116" s="7">
        <v>0</v>
      </c>
      <c r="J116" s="7">
        <v>0</v>
      </c>
      <c r="K116" s="7">
        <v>0</v>
      </c>
      <c r="L116" s="7">
        <v>0</v>
      </c>
      <c r="M116" s="7">
        <v>7380</v>
      </c>
    </row>
    <row r="117" spans="1:13" s="17" customFormat="1" ht="24" x14ac:dyDescent="0.4">
      <c r="A117" s="6" t="s">
        <v>198</v>
      </c>
      <c r="B117" s="6" t="s">
        <v>24</v>
      </c>
      <c r="C117" s="6" t="s">
        <v>52</v>
      </c>
      <c r="D117" s="6" t="s">
        <v>65</v>
      </c>
      <c r="E117" s="6" t="s">
        <v>51</v>
      </c>
      <c r="F117" s="8">
        <v>0</v>
      </c>
      <c r="G117" s="7">
        <v>0</v>
      </c>
      <c r="H117" s="7">
        <v>0</v>
      </c>
      <c r="I117" s="7">
        <v>0</v>
      </c>
      <c r="J117" s="7">
        <v>0</v>
      </c>
      <c r="K117" s="7">
        <v>0</v>
      </c>
      <c r="L117" s="7">
        <v>0</v>
      </c>
      <c r="M117" s="7">
        <v>0</v>
      </c>
    </row>
    <row r="118" spans="1:13" s="17" customFormat="1" ht="24" x14ac:dyDescent="0.4">
      <c r="A118" s="6" t="s">
        <v>202</v>
      </c>
      <c r="B118" s="6" t="s">
        <v>112</v>
      </c>
      <c r="C118" s="6" t="s">
        <v>114</v>
      </c>
      <c r="D118" s="6" t="s">
        <v>115</v>
      </c>
      <c r="E118" s="6" t="s">
        <v>51</v>
      </c>
      <c r="F118" s="8">
        <v>302491</v>
      </c>
      <c r="G118" s="7">
        <v>0</v>
      </c>
      <c r="H118" s="7">
        <v>93128</v>
      </c>
      <c r="I118" s="7">
        <v>0</v>
      </c>
      <c r="J118" s="7">
        <v>0</v>
      </c>
      <c r="K118" s="7">
        <v>209363</v>
      </c>
      <c r="L118" s="7">
        <v>0</v>
      </c>
      <c r="M118" s="7">
        <v>0</v>
      </c>
    </row>
    <row r="119" spans="1:13" s="17" customFormat="1" ht="24" x14ac:dyDescent="0.4">
      <c r="A119" s="6" t="s">
        <v>285</v>
      </c>
      <c r="B119" s="6" t="s">
        <v>106</v>
      </c>
      <c r="C119" s="6" t="s">
        <v>52</v>
      </c>
      <c r="D119" s="6" t="s">
        <v>351</v>
      </c>
      <c r="E119" s="6" t="s">
        <v>51</v>
      </c>
      <c r="F119" s="8">
        <v>8983</v>
      </c>
      <c r="G119" s="7">
        <v>0</v>
      </c>
      <c r="H119" s="7">
        <v>0</v>
      </c>
      <c r="I119" s="7">
        <v>0</v>
      </c>
      <c r="J119" s="7">
        <v>0</v>
      </c>
      <c r="K119" s="7">
        <v>8983</v>
      </c>
      <c r="L119" s="7">
        <v>0</v>
      </c>
      <c r="M119" s="7">
        <v>0</v>
      </c>
    </row>
    <row r="120" spans="1:13" s="17" customFormat="1" ht="24" x14ac:dyDescent="0.4">
      <c r="A120" s="6" t="s">
        <v>273</v>
      </c>
      <c r="B120" s="6" t="s">
        <v>136</v>
      </c>
      <c r="C120" s="6" t="s">
        <v>52</v>
      </c>
      <c r="D120" s="6" t="s">
        <v>149</v>
      </c>
      <c r="E120" s="6" t="s">
        <v>51</v>
      </c>
      <c r="F120" s="8">
        <v>20980</v>
      </c>
      <c r="G120" s="7">
        <v>0</v>
      </c>
      <c r="H120" s="7">
        <v>0</v>
      </c>
      <c r="I120" s="7">
        <v>0</v>
      </c>
      <c r="J120" s="7">
        <v>0</v>
      </c>
      <c r="K120" s="7">
        <v>20980</v>
      </c>
      <c r="L120" s="7">
        <v>0</v>
      </c>
      <c r="M120" s="7">
        <v>0</v>
      </c>
    </row>
    <row r="121" spans="1:13" s="17" customFormat="1" ht="24" x14ac:dyDescent="0.4">
      <c r="A121" s="6" t="s">
        <v>323</v>
      </c>
      <c r="B121" s="6" t="s">
        <v>318</v>
      </c>
      <c r="C121" s="6" t="s">
        <v>343</v>
      </c>
      <c r="D121" s="6" t="s">
        <v>344</v>
      </c>
      <c r="E121" s="6" t="s">
        <v>51</v>
      </c>
      <c r="F121" s="8">
        <v>181488</v>
      </c>
      <c r="G121" s="7">
        <v>181488</v>
      </c>
      <c r="H121" s="7">
        <v>0</v>
      </c>
      <c r="I121" s="7">
        <v>0</v>
      </c>
      <c r="J121" s="7">
        <v>0</v>
      </c>
      <c r="K121" s="7">
        <v>0</v>
      </c>
      <c r="L121" s="7">
        <v>0</v>
      </c>
      <c r="M121" s="7">
        <v>0</v>
      </c>
    </row>
    <row r="122" spans="1:13" s="17" customFormat="1" ht="24" x14ac:dyDescent="0.4">
      <c r="A122" s="6" t="s">
        <v>210</v>
      </c>
      <c r="B122" s="6" t="s">
        <v>26</v>
      </c>
      <c r="C122" s="6" t="s">
        <v>50</v>
      </c>
      <c r="D122" s="6" t="s">
        <v>50</v>
      </c>
      <c r="E122" s="6" t="s">
        <v>51</v>
      </c>
      <c r="F122" s="8">
        <v>360590</v>
      </c>
      <c r="G122" s="7">
        <v>203488</v>
      </c>
      <c r="H122" s="7">
        <v>0</v>
      </c>
      <c r="I122" s="7">
        <v>0</v>
      </c>
      <c r="J122" s="7">
        <v>0</v>
      </c>
      <c r="K122" s="7">
        <v>129073</v>
      </c>
      <c r="L122" s="7">
        <v>0</v>
      </c>
      <c r="M122" s="7">
        <v>28029</v>
      </c>
    </row>
    <row r="123" spans="1:13" s="17" customFormat="1" ht="24" x14ac:dyDescent="0.4">
      <c r="A123" s="6" t="s">
        <v>269</v>
      </c>
      <c r="B123" s="6" t="s">
        <v>41</v>
      </c>
      <c r="C123" s="6" t="s">
        <v>73</v>
      </c>
      <c r="D123" s="6" t="s">
        <v>74</v>
      </c>
      <c r="E123" s="6" t="s">
        <v>51</v>
      </c>
      <c r="F123" s="8">
        <v>23990</v>
      </c>
      <c r="G123" s="7">
        <v>0</v>
      </c>
      <c r="H123" s="7">
        <v>0</v>
      </c>
      <c r="I123" s="7">
        <v>0</v>
      </c>
      <c r="J123" s="7">
        <v>0</v>
      </c>
      <c r="K123" s="7">
        <v>0</v>
      </c>
      <c r="L123" s="7">
        <v>0</v>
      </c>
      <c r="M123" s="7">
        <v>23990</v>
      </c>
    </row>
    <row r="124" spans="1:13" s="18" customFormat="1" ht="24" x14ac:dyDescent="0.4">
      <c r="A124" s="6" t="s">
        <v>249</v>
      </c>
      <c r="B124" s="6" t="s">
        <v>97</v>
      </c>
      <c r="C124" s="6" t="s">
        <v>52</v>
      </c>
      <c r="D124" s="6" t="s">
        <v>354</v>
      </c>
      <c r="E124" s="6" t="s">
        <v>51</v>
      </c>
      <c r="F124" s="8">
        <v>26264</v>
      </c>
      <c r="G124" s="7">
        <v>177</v>
      </c>
      <c r="H124" s="7">
        <v>0</v>
      </c>
      <c r="I124" s="7">
        <v>0</v>
      </c>
      <c r="J124" s="7">
        <v>0</v>
      </c>
      <c r="K124" s="7">
        <v>0</v>
      </c>
      <c r="L124" s="7">
        <v>26087</v>
      </c>
      <c r="M124" s="7">
        <v>0</v>
      </c>
    </row>
    <row r="125" spans="1:13" s="18" customFormat="1" ht="24" x14ac:dyDescent="0.4">
      <c r="A125" s="6" t="s">
        <v>278</v>
      </c>
      <c r="B125" s="6" t="s">
        <v>175</v>
      </c>
      <c r="C125" s="6" t="s">
        <v>52</v>
      </c>
      <c r="D125" s="6" t="s">
        <v>125</v>
      </c>
      <c r="E125" s="6" t="s">
        <v>51</v>
      </c>
      <c r="F125" s="8">
        <v>0</v>
      </c>
      <c r="G125" s="7">
        <v>0</v>
      </c>
      <c r="H125" s="7">
        <v>0</v>
      </c>
      <c r="I125" s="7">
        <v>0</v>
      </c>
      <c r="J125" s="7">
        <v>0</v>
      </c>
      <c r="K125" s="7">
        <v>0</v>
      </c>
      <c r="L125" s="7">
        <v>0</v>
      </c>
      <c r="M125" s="7">
        <v>0</v>
      </c>
    </row>
    <row r="126" spans="1:13" s="18" customFormat="1" ht="24" x14ac:dyDescent="0.4">
      <c r="A126" s="6" t="s">
        <v>236</v>
      </c>
      <c r="B126" s="6" t="s">
        <v>108</v>
      </c>
      <c r="C126" s="6" t="s">
        <v>52</v>
      </c>
      <c r="D126" s="6" t="s">
        <v>125</v>
      </c>
      <c r="E126" s="6" t="s">
        <v>51</v>
      </c>
      <c r="F126" s="8">
        <v>69810</v>
      </c>
      <c r="G126" s="7">
        <v>0</v>
      </c>
      <c r="H126" s="7">
        <v>0</v>
      </c>
      <c r="I126" s="7">
        <v>11333</v>
      </c>
      <c r="J126" s="7">
        <v>23168</v>
      </c>
      <c r="K126" s="7">
        <v>35309</v>
      </c>
      <c r="L126" s="7">
        <v>0</v>
      </c>
      <c r="M126" s="7">
        <v>0</v>
      </c>
    </row>
    <row r="127" spans="1:13" s="18" customFormat="1" ht="24" x14ac:dyDescent="0.4">
      <c r="A127" s="6" t="s">
        <v>287</v>
      </c>
      <c r="B127" s="6" t="s">
        <v>80</v>
      </c>
      <c r="C127" s="6" t="s">
        <v>52</v>
      </c>
      <c r="D127" s="6" t="s">
        <v>350</v>
      </c>
      <c r="E127" s="6" t="s">
        <v>51</v>
      </c>
      <c r="F127" s="8">
        <v>8243</v>
      </c>
      <c r="G127" s="7">
        <v>0</v>
      </c>
      <c r="H127" s="7">
        <v>8243</v>
      </c>
      <c r="I127" s="7">
        <v>0</v>
      </c>
      <c r="J127" s="7">
        <v>0</v>
      </c>
      <c r="K127" s="7">
        <v>0</v>
      </c>
      <c r="L127" s="7">
        <v>0</v>
      </c>
      <c r="M127" s="7">
        <v>0</v>
      </c>
    </row>
    <row r="128" spans="1:13" s="18" customFormat="1" ht="24" x14ac:dyDescent="0.4">
      <c r="A128" s="6" t="s">
        <v>268</v>
      </c>
      <c r="B128" s="6" t="s">
        <v>30</v>
      </c>
      <c r="C128" s="6" t="s">
        <v>52</v>
      </c>
      <c r="D128" s="6" t="s">
        <v>350</v>
      </c>
      <c r="E128" s="6" t="s">
        <v>51</v>
      </c>
      <c r="F128" s="8">
        <v>24760</v>
      </c>
      <c r="G128" s="7">
        <v>0</v>
      </c>
      <c r="H128" s="7">
        <v>0</v>
      </c>
      <c r="I128" s="7">
        <v>0</v>
      </c>
      <c r="J128" s="7">
        <v>0</v>
      </c>
      <c r="K128" s="7">
        <v>0</v>
      </c>
      <c r="L128" s="7">
        <v>0</v>
      </c>
      <c r="M128" s="7">
        <v>24760</v>
      </c>
    </row>
  </sheetData>
  <autoFilter ref="A3:M3" xr:uid="{88855C41-603B-4A0B-B731-BEC2373482A5}">
    <sortState xmlns:xlrd2="http://schemas.microsoft.com/office/spreadsheetml/2017/richdata2" ref="A4:M128">
      <sortCondition ref="E3"/>
    </sortState>
  </autoFilter>
  <mergeCells count="3">
    <mergeCell ref="A2:B2"/>
    <mergeCell ref="A1:F1"/>
    <mergeCell ref="H1:M1"/>
  </mergeCells>
  <phoneticPr fontId="5" type="noConversion"/>
  <conditionalFormatting sqref="G4:M128">
    <cfRule type="cellIs" dxfId="2" priority="1" operator="greaterThan">
      <formula>0</formula>
    </cfRule>
    <cfRule type="cellIs" dxfId="1" priority="2" operator="lessThan">
      <formula>0</formula>
    </cfRule>
    <cfRule type="cellIs" dxfId="0" priority="3" operator="greaterThan">
      <formula>1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953CC-DC7A-491C-8808-5CA64D7ECD8C}">
  <dimension ref="A1:I126"/>
  <sheetViews>
    <sheetView workbookViewId="0">
      <selection sqref="A1:I116"/>
    </sheetView>
  </sheetViews>
  <sheetFormatPr defaultRowHeight="15" x14ac:dyDescent="0.25"/>
  <cols>
    <col min="1" max="1" width="44.140625" bestFit="1" customWidth="1"/>
    <col min="2" max="2" width="11.42578125" bestFit="1" customWidth="1"/>
    <col min="3" max="5" width="11.7109375" bestFit="1" customWidth="1"/>
  </cols>
  <sheetData>
    <row r="1" spans="1:9" x14ac:dyDescent="0.25">
      <c r="A1" s="24"/>
      <c r="B1" s="37"/>
      <c r="C1" s="37"/>
      <c r="D1" s="37"/>
      <c r="E1" s="37"/>
      <c r="F1" s="37"/>
      <c r="G1" s="37"/>
      <c r="H1" s="37"/>
      <c r="I1" s="37"/>
    </row>
    <row r="2" spans="1:9" x14ac:dyDescent="0.25">
      <c r="A2" s="25"/>
      <c r="B2" s="26"/>
      <c r="C2" s="27"/>
      <c r="D2" s="28"/>
      <c r="E2" s="27"/>
      <c r="F2" s="28"/>
      <c r="G2" s="27"/>
      <c r="H2" s="28"/>
      <c r="I2" s="29"/>
    </row>
    <row r="3" spans="1:9" x14ac:dyDescent="0.25">
      <c r="A3" s="25"/>
      <c r="B3" s="30"/>
      <c r="C3" s="31"/>
      <c r="D3" s="32"/>
      <c r="E3" s="31"/>
      <c r="F3" s="32"/>
      <c r="G3" s="31"/>
      <c r="H3" s="30"/>
      <c r="I3" s="31"/>
    </row>
    <row r="4" spans="1:9" x14ac:dyDescent="0.25">
      <c r="A4" s="25"/>
      <c r="B4" s="30"/>
      <c r="C4" s="33"/>
      <c r="D4" s="32"/>
      <c r="E4" s="33"/>
      <c r="F4" s="30"/>
      <c r="G4" s="33"/>
      <c r="H4" s="32"/>
      <c r="I4" s="31"/>
    </row>
    <row r="5" spans="1:9" x14ac:dyDescent="0.25">
      <c r="A5" s="25"/>
      <c r="B5" s="30"/>
      <c r="C5" s="31"/>
      <c r="D5" s="32"/>
      <c r="E5" s="31"/>
      <c r="F5" s="32"/>
      <c r="G5" s="31"/>
      <c r="H5" s="32"/>
      <c r="I5" s="33"/>
    </row>
    <row r="6" spans="1:9" x14ac:dyDescent="0.25">
      <c r="A6" s="25"/>
      <c r="B6" s="30"/>
      <c r="C6" s="33"/>
      <c r="D6" s="32"/>
      <c r="E6" s="31"/>
      <c r="F6" s="32"/>
      <c r="G6" s="31"/>
      <c r="H6" s="32"/>
      <c r="I6" s="31"/>
    </row>
    <row r="7" spans="1:9" x14ac:dyDescent="0.25">
      <c r="A7" s="25"/>
      <c r="B7" s="30"/>
      <c r="C7" s="31"/>
      <c r="D7" s="30"/>
      <c r="E7" s="31"/>
      <c r="F7" s="32"/>
      <c r="G7" s="31"/>
      <c r="H7" s="32"/>
      <c r="I7" s="31"/>
    </row>
    <row r="8" spans="1:9" x14ac:dyDescent="0.25">
      <c r="A8" s="25"/>
      <c r="B8" s="30"/>
      <c r="C8" s="31"/>
      <c r="D8" s="32"/>
      <c r="E8" s="31"/>
      <c r="F8" s="32"/>
      <c r="G8" s="31"/>
      <c r="H8" s="32"/>
      <c r="I8" s="33"/>
    </row>
    <row r="9" spans="1:9" x14ac:dyDescent="0.25">
      <c r="A9" s="25"/>
      <c r="B9" s="30"/>
      <c r="C9" s="31"/>
      <c r="D9" s="32"/>
      <c r="E9" s="31"/>
      <c r="F9" s="32"/>
      <c r="G9" s="31"/>
      <c r="H9" s="32"/>
      <c r="I9" s="33"/>
    </row>
    <row r="10" spans="1:9" x14ac:dyDescent="0.25">
      <c r="A10" s="25"/>
      <c r="B10" s="30"/>
      <c r="C10" s="31"/>
      <c r="D10" s="32"/>
      <c r="E10" s="31"/>
      <c r="F10" s="32"/>
      <c r="G10" s="33"/>
      <c r="H10" s="32"/>
      <c r="I10" s="31"/>
    </row>
    <row r="11" spans="1:9" x14ac:dyDescent="0.25">
      <c r="A11" s="25"/>
      <c r="B11" s="30"/>
      <c r="C11" s="31"/>
      <c r="D11" s="32"/>
      <c r="E11" s="33"/>
      <c r="F11" s="32"/>
      <c r="G11" s="33"/>
      <c r="H11" s="32"/>
      <c r="I11" s="31"/>
    </row>
    <row r="12" spans="1:9" x14ac:dyDescent="0.25">
      <c r="A12" s="25"/>
      <c r="B12" s="30"/>
      <c r="C12" s="31"/>
      <c r="D12" s="32"/>
      <c r="E12" s="31"/>
      <c r="F12" s="32"/>
      <c r="G12" s="33"/>
      <c r="H12" s="30"/>
      <c r="I12" s="31"/>
    </row>
    <row r="13" spans="1:9" x14ac:dyDescent="0.25">
      <c r="A13" s="25"/>
      <c r="B13" s="30"/>
      <c r="C13" s="33"/>
      <c r="D13" s="32"/>
      <c r="E13" s="31"/>
      <c r="F13" s="32"/>
      <c r="G13" s="31"/>
      <c r="H13" s="32"/>
      <c r="I13" s="31"/>
    </row>
    <row r="14" spans="1:9" x14ac:dyDescent="0.25">
      <c r="A14" s="25"/>
      <c r="B14" s="30"/>
      <c r="C14" s="31"/>
      <c r="D14" s="32"/>
      <c r="E14" s="31"/>
      <c r="F14" s="32"/>
      <c r="G14" s="31"/>
      <c r="H14" s="32"/>
      <c r="I14" s="33"/>
    </row>
    <row r="15" spans="1:9" x14ac:dyDescent="0.25">
      <c r="A15" s="25"/>
      <c r="B15" s="30"/>
      <c r="C15" s="31"/>
      <c r="D15" s="32"/>
      <c r="E15" s="31"/>
      <c r="F15" s="30"/>
      <c r="G15" s="33"/>
      <c r="H15" s="32"/>
      <c r="I15" s="33"/>
    </row>
    <row r="16" spans="1:9" x14ac:dyDescent="0.25">
      <c r="A16" s="25"/>
      <c r="B16" s="30"/>
      <c r="C16" s="31"/>
      <c r="D16" s="32"/>
      <c r="E16" s="31"/>
      <c r="F16" s="32"/>
      <c r="G16" s="31"/>
      <c r="H16" s="30"/>
      <c r="I16" s="31"/>
    </row>
    <row r="17" spans="1:9" x14ac:dyDescent="0.25">
      <c r="A17" s="25"/>
      <c r="B17" s="30"/>
      <c r="C17" s="31"/>
      <c r="D17" s="32"/>
      <c r="E17" s="33"/>
      <c r="F17" s="32"/>
      <c r="G17" s="31"/>
      <c r="H17" s="32"/>
      <c r="I17" s="31"/>
    </row>
    <row r="18" spans="1:9" x14ac:dyDescent="0.25">
      <c r="A18" s="25"/>
      <c r="B18" s="30"/>
      <c r="C18" s="31"/>
      <c r="D18" s="32"/>
      <c r="E18" s="31"/>
      <c r="F18" s="30"/>
      <c r="G18" s="31"/>
      <c r="H18" s="32"/>
      <c r="I18" s="33"/>
    </row>
    <row r="19" spans="1:9" x14ac:dyDescent="0.25">
      <c r="A19" s="25"/>
      <c r="B19" s="30"/>
      <c r="C19" s="33"/>
      <c r="D19" s="32"/>
      <c r="E19" s="31"/>
      <c r="F19" s="32"/>
      <c r="G19" s="31"/>
      <c r="H19" s="32"/>
      <c r="I19" s="31"/>
    </row>
    <row r="20" spans="1:9" x14ac:dyDescent="0.25">
      <c r="A20" s="25"/>
      <c r="B20" s="30"/>
      <c r="C20" s="33"/>
      <c r="D20" s="32"/>
      <c r="E20" s="31"/>
      <c r="F20" s="32"/>
      <c r="G20" s="33"/>
      <c r="H20" s="32"/>
      <c r="I20" s="31"/>
    </row>
    <row r="21" spans="1:9" x14ac:dyDescent="0.25">
      <c r="A21" s="25"/>
      <c r="B21" s="30"/>
      <c r="C21" s="31"/>
      <c r="D21" s="32"/>
      <c r="E21" s="31"/>
      <c r="F21" s="32"/>
      <c r="G21" s="31"/>
      <c r="H21" s="32"/>
      <c r="I21" s="33"/>
    </row>
    <row r="22" spans="1:9" x14ac:dyDescent="0.25">
      <c r="A22" s="25"/>
      <c r="B22" s="30"/>
      <c r="C22" s="31"/>
      <c r="D22" s="32"/>
      <c r="E22" s="31"/>
      <c r="F22" s="32"/>
      <c r="G22" s="33"/>
      <c r="H22" s="32"/>
      <c r="I22" s="31"/>
    </row>
    <row r="23" spans="1:9" x14ac:dyDescent="0.25">
      <c r="A23" s="25"/>
      <c r="B23" s="30"/>
      <c r="C23" s="33"/>
      <c r="D23" s="30"/>
      <c r="E23" s="33"/>
      <c r="F23" s="32"/>
      <c r="G23" s="31"/>
      <c r="H23" s="32"/>
      <c r="I23" s="31"/>
    </row>
    <row r="24" spans="1:9" x14ac:dyDescent="0.25">
      <c r="A24" s="25"/>
      <c r="B24" s="30"/>
      <c r="C24" s="31"/>
      <c r="D24" s="32"/>
      <c r="E24" s="33"/>
      <c r="F24" s="32"/>
      <c r="G24" s="31"/>
      <c r="H24" s="32"/>
      <c r="I24" s="31"/>
    </row>
    <row r="25" spans="1:9" x14ac:dyDescent="0.25">
      <c r="A25" s="25"/>
      <c r="B25" s="30"/>
      <c r="C25" s="31"/>
      <c r="D25" s="32"/>
      <c r="E25" s="31"/>
      <c r="F25" s="32"/>
      <c r="G25" s="31"/>
      <c r="H25" s="32"/>
      <c r="I25" s="33"/>
    </row>
    <row r="26" spans="1:9" x14ac:dyDescent="0.25">
      <c r="A26" s="25"/>
      <c r="B26" s="30"/>
      <c r="C26" s="31"/>
      <c r="D26" s="30"/>
      <c r="E26" s="31"/>
      <c r="F26" s="32"/>
      <c r="G26" s="31"/>
      <c r="H26" s="32"/>
      <c r="I26" s="31"/>
    </row>
    <row r="27" spans="1:9" x14ac:dyDescent="0.25">
      <c r="A27" s="25"/>
      <c r="B27" s="30"/>
      <c r="C27" s="31"/>
      <c r="D27" s="32"/>
      <c r="E27" s="31"/>
      <c r="F27" s="32"/>
      <c r="G27" s="31"/>
      <c r="H27" s="30"/>
      <c r="I27" s="31"/>
    </row>
    <row r="28" spans="1:9" x14ac:dyDescent="0.25">
      <c r="A28" s="25"/>
      <c r="B28" s="30"/>
      <c r="C28" s="31"/>
      <c r="D28" s="32"/>
      <c r="E28" s="31"/>
      <c r="F28" s="30"/>
      <c r="G28" s="33"/>
      <c r="H28" s="30"/>
      <c r="I28" s="31"/>
    </row>
    <row r="29" spans="1:9" x14ac:dyDescent="0.25">
      <c r="A29" s="25"/>
      <c r="B29" s="30"/>
      <c r="C29" s="31"/>
      <c r="D29" s="30"/>
      <c r="E29" s="31"/>
      <c r="F29" s="30"/>
      <c r="G29" s="33"/>
      <c r="H29" s="32"/>
      <c r="I29" s="31"/>
    </row>
    <row r="30" spans="1:9" x14ac:dyDescent="0.25">
      <c r="A30" s="25"/>
      <c r="B30" s="30"/>
      <c r="C30" s="31"/>
      <c r="D30" s="32"/>
      <c r="E30" s="31"/>
      <c r="F30" s="32"/>
      <c r="G30" s="31"/>
      <c r="H30" s="30"/>
      <c r="I30" s="31"/>
    </row>
    <row r="31" spans="1:9" x14ac:dyDescent="0.25">
      <c r="A31" s="25"/>
      <c r="B31" s="30"/>
      <c r="C31" s="31"/>
      <c r="D31" s="32"/>
      <c r="E31" s="31"/>
      <c r="F31" s="32"/>
      <c r="G31" s="31"/>
      <c r="H31" s="30"/>
      <c r="I31" s="31"/>
    </row>
    <row r="32" spans="1:9" x14ac:dyDescent="0.25">
      <c r="A32" s="25"/>
      <c r="B32" s="30"/>
      <c r="C32" s="31"/>
      <c r="D32" s="32"/>
      <c r="E32" s="31"/>
      <c r="F32" s="30"/>
      <c r="G32" s="31"/>
      <c r="H32" s="30"/>
      <c r="I32" s="31"/>
    </row>
    <row r="33" spans="1:9" x14ac:dyDescent="0.25">
      <c r="A33" s="25"/>
      <c r="B33" s="30"/>
      <c r="C33" s="33"/>
      <c r="D33" s="32"/>
      <c r="E33" s="31"/>
      <c r="F33" s="32"/>
      <c r="G33" s="31"/>
      <c r="H33" s="32"/>
      <c r="I33" s="31"/>
    </row>
    <row r="34" spans="1:9" x14ac:dyDescent="0.25">
      <c r="A34" s="25"/>
      <c r="B34" s="30"/>
      <c r="C34" s="31"/>
      <c r="D34" s="30"/>
      <c r="E34" s="31"/>
      <c r="F34" s="32"/>
      <c r="G34" s="31"/>
      <c r="H34" s="32"/>
      <c r="I34" s="31"/>
    </row>
    <row r="35" spans="1:9" x14ac:dyDescent="0.25">
      <c r="A35" s="25"/>
      <c r="B35" s="30"/>
      <c r="C35" s="31"/>
      <c r="D35" s="32"/>
      <c r="E35" s="33"/>
      <c r="F35" s="32"/>
      <c r="G35" s="31"/>
      <c r="H35" s="32"/>
      <c r="I35" s="33"/>
    </row>
    <row r="36" spans="1:9" x14ac:dyDescent="0.25">
      <c r="A36" s="25"/>
      <c r="B36" s="30"/>
      <c r="C36" s="31"/>
      <c r="D36" s="32"/>
      <c r="E36" s="33"/>
      <c r="F36" s="32"/>
      <c r="G36" s="31"/>
      <c r="H36" s="30"/>
      <c r="I36" s="31"/>
    </row>
    <row r="37" spans="1:9" x14ac:dyDescent="0.25">
      <c r="A37" s="25"/>
      <c r="B37" s="30"/>
      <c r="C37" s="33"/>
      <c r="D37" s="32"/>
      <c r="E37" s="31"/>
      <c r="F37" s="32"/>
      <c r="G37" s="33"/>
      <c r="H37" s="32"/>
      <c r="I37" s="31"/>
    </row>
    <row r="38" spans="1:9" x14ac:dyDescent="0.25">
      <c r="A38" s="25"/>
      <c r="B38" s="30"/>
      <c r="C38" s="31"/>
      <c r="D38" s="30"/>
      <c r="E38" s="31"/>
      <c r="F38" s="32"/>
      <c r="G38" s="31"/>
      <c r="H38" s="32"/>
      <c r="I38" s="31"/>
    </row>
    <row r="39" spans="1:9" x14ac:dyDescent="0.25">
      <c r="A39" s="25"/>
      <c r="B39" s="30"/>
      <c r="C39" s="31"/>
      <c r="D39" s="32"/>
      <c r="E39" s="33"/>
      <c r="F39" s="32"/>
      <c r="G39" s="31"/>
      <c r="H39" s="32"/>
      <c r="I39" s="31"/>
    </row>
    <row r="40" spans="1:9" x14ac:dyDescent="0.25">
      <c r="A40" s="25"/>
      <c r="B40" s="30"/>
      <c r="C40" s="33"/>
      <c r="D40" s="32"/>
      <c r="E40" s="31"/>
      <c r="F40" s="32"/>
      <c r="G40" s="31"/>
      <c r="H40" s="32"/>
      <c r="I40" s="31"/>
    </row>
    <row r="41" spans="1:9" x14ac:dyDescent="0.25">
      <c r="A41" s="25"/>
      <c r="B41" s="30"/>
      <c r="C41" s="31"/>
      <c r="D41" s="32"/>
      <c r="E41" s="31"/>
      <c r="F41" s="32"/>
      <c r="G41" s="31"/>
      <c r="H41" s="32"/>
      <c r="I41" s="33"/>
    </row>
    <row r="42" spans="1:9" x14ac:dyDescent="0.25">
      <c r="A42" s="25"/>
      <c r="B42" s="30"/>
      <c r="C42" s="33"/>
      <c r="D42" s="32"/>
      <c r="E42" s="31"/>
      <c r="F42" s="32"/>
      <c r="G42" s="31"/>
      <c r="H42" s="32"/>
      <c r="I42" s="31"/>
    </row>
    <row r="43" spans="1:9" x14ac:dyDescent="0.25">
      <c r="A43" s="25"/>
      <c r="B43" s="30"/>
      <c r="C43" s="33"/>
      <c r="D43" s="32"/>
      <c r="E43" s="31"/>
      <c r="F43" s="32"/>
      <c r="G43" s="33"/>
      <c r="H43" s="32"/>
      <c r="I43" s="33"/>
    </row>
    <row r="44" spans="1:9" x14ac:dyDescent="0.25">
      <c r="A44" s="25"/>
      <c r="B44" s="30"/>
      <c r="C44" s="33"/>
      <c r="D44" s="32"/>
      <c r="E44" s="31"/>
      <c r="F44" s="32"/>
      <c r="G44" s="31"/>
      <c r="H44" s="32"/>
      <c r="I44" s="31"/>
    </row>
    <row r="45" spans="1:9" x14ac:dyDescent="0.25">
      <c r="A45" s="25"/>
      <c r="B45" s="30"/>
      <c r="C45" s="31"/>
      <c r="D45" s="32"/>
      <c r="E45" s="31"/>
      <c r="F45" s="32"/>
      <c r="G45" s="31"/>
      <c r="H45" s="30"/>
      <c r="I45" s="33"/>
    </row>
    <row r="46" spans="1:9" x14ac:dyDescent="0.25">
      <c r="A46" s="25"/>
      <c r="B46" s="30"/>
      <c r="C46" s="31"/>
      <c r="D46" s="32"/>
      <c r="E46" s="33"/>
      <c r="F46" s="32"/>
      <c r="G46" s="31"/>
      <c r="H46" s="32"/>
      <c r="I46" s="31"/>
    </row>
    <row r="47" spans="1:9" x14ac:dyDescent="0.25">
      <c r="A47" s="25"/>
      <c r="B47" s="30"/>
      <c r="C47" s="31"/>
      <c r="D47" s="32"/>
      <c r="E47" s="33"/>
      <c r="F47" s="30"/>
      <c r="G47" s="33"/>
      <c r="H47" s="32"/>
      <c r="I47" s="31"/>
    </row>
    <row r="48" spans="1:9" x14ac:dyDescent="0.25">
      <c r="A48" s="25"/>
      <c r="B48" s="30"/>
      <c r="C48" s="31"/>
      <c r="D48" s="32"/>
      <c r="E48" s="31"/>
      <c r="F48" s="32"/>
      <c r="G48" s="33"/>
      <c r="H48" s="32"/>
      <c r="I48" s="31"/>
    </row>
    <row r="49" spans="1:9" x14ac:dyDescent="0.25">
      <c r="A49" s="25"/>
      <c r="B49" s="30"/>
      <c r="C49" s="33"/>
      <c r="D49" s="32"/>
      <c r="E49" s="31"/>
      <c r="F49" s="32"/>
      <c r="G49" s="31"/>
      <c r="H49" s="32"/>
      <c r="I49" s="31"/>
    </row>
    <row r="50" spans="1:9" x14ac:dyDescent="0.25">
      <c r="A50" s="25"/>
      <c r="B50" s="30"/>
      <c r="C50" s="33"/>
      <c r="D50" s="32"/>
      <c r="E50" s="33"/>
      <c r="F50" s="30"/>
      <c r="G50" s="33"/>
      <c r="H50" s="32"/>
      <c r="I50" s="31"/>
    </row>
    <row r="51" spans="1:9" x14ac:dyDescent="0.25">
      <c r="A51" s="25"/>
      <c r="B51" s="30"/>
      <c r="C51" s="33"/>
      <c r="D51" s="32"/>
      <c r="E51" s="31"/>
      <c r="F51" s="32"/>
      <c r="G51" s="33"/>
      <c r="H51" s="32"/>
      <c r="I51" s="31"/>
    </row>
    <row r="52" spans="1:9" x14ac:dyDescent="0.25">
      <c r="A52" s="25"/>
      <c r="B52" s="30"/>
      <c r="C52" s="31"/>
      <c r="D52" s="32"/>
      <c r="E52" s="33"/>
      <c r="F52" s="32"/>
      <c r="G52" s="31"/>
      <c r="H52" s="32"/>
      <c r="I52" s="31"/>
    </row>
    <row r="53" spans="1:9" x14ac:dyDescent="0.25">
      <c r="A53" s="25"/>
      <c r="B53" s="30"/>
      <c r="C53" s="33"/>
      <c r="D53" s="32"/>
      <c r="E53" s="31"/>
      <c r="F53" s="32"/>
      <c r="G53" s="31"/>
      <c r="H53" s="32"/>
      <c r="I53" s="31"/>
    </row>
    <row r="54" spans="1:9" x14ac:dyDescent="0.25">
      <c r="A54" s="25"/>
      <c r="B54" s="30"/>
      <c r="C54" s="33"/>
      <c r="D54" s="32"/>
      <c r="E54" s="31"/>
      <c r="F54" s="32"/>
      <c r="G54" s="31"/>
      <c r="H54" s="32"/>
      <c r="I54" s="31"/>
    </row>
    <row r="55" spans="1:9" x14ac:dyDescent="0.25">
      <c r="A55" s="25"/>
      <c r="B55" s="30"/>
      <c r="C55" s="33"/>
      <c r="D55" s="32"/>
      <c r="E55" s="31"/>
      <c r="F55" s="32"/>
      <c r="G55" s="31"/>
      <c r="H55" s="32"/>
      <c r="I55" s="31"/>
    </row>
    <row r="56" spans="1:9" x14ac:dyDescent="0.25">
      <c r="A56" s="25"/>
      <c r="B56" s="30"/>
      <c r="C56" s="33"/>
      <c r="D56" s="32"/>
      <c r="E56" s="31"/>
      <c r="F56" s="32"/>
      <c r="G56" s="31"/>
      <c r="H56" s="32"/>
      <c r="I56" s="31"/>
    </row>
    <row r="57" spans="1:9" x14ac:dyDescent="0.25">
      <c r="A57" s="25"/>
      <c r="B57" s="30"/>
      <c r="C57" s="31"/>
      <c r="D57" s="32"/>
      <c r="E57" s="33"/>
      <c r="F57" s="32"/>
      <c r="G57" s="31"/>
      <c r="H57" s="32"/>
      <c r="I57" s="31"/>
    </row>
    <row r="58" spans="1:9" x14ac:dyDescent="0.25">
      <c r="A58" s="25"/>
      <c r="B58" s="30"/>
      <c r="C58" s="31"/>
      <c r="D58" s="32"/>
      <c r="E58" s="31"/>
      <c r="F58" s="32"/>
      <c r="G58" s="33"/>
      <c r="H58" s="32"/>
      <c r="I58" s="33"/>
    </row>
    <row r="59" spans="1:9" x14ac:dyDescent="0.25">
      <c r="A59" s="25"/>
      <c r="B59" s="30"/>
      <c r="C59" s="33"/>
      <c r="D59" s="32"/>
      <c r="E59" s="31"/>
      <c r="F59" s="32"/>
      <c r="G59" s="31"/>
      <c r="H59" s="32"/>
      <c r="I59" s="31"/>
    </row>
    <row r="60" spans="1:9" x14ac:dyDescent="0.25">
      <c r="A60" s="25"/>
      <c r="B60" s="30"/>
      <c r="C60" s="31"/>
      <c r="D60" s="32"/>
      <c r="E60" s="31"/>
      <c r="F60" s="32"/>
      <c r="G60" s="31"/>
      <c r="H60" s="32"/>
      <c r="I60" s="33"/>
    </row>
    <row r="61" spans="1:9" x14ac:dyDescent="0.25">
      <c r="A61" s="25"/>
      <c r="B61" s="30"/>
      <c r="C61" s="31"/>
      <c r="D61" s="30"/>
      <c r="E61" s="31"/>
      <c r="F61" s="32"/>
      <c r="G61" s="31"/>
      <c r="H61" s="32"/>
      <c r="I61" s="31"/>
    </row>
    <row r="62" spans="1:9" x14ac:dyDescent="0.25">
      <c r="A62" s="25"/>
      <c r="B62" s="30"/>
      <c r="C62" s="31"/>
      <c r="D62" s="30"/>
      <c r="E62" s="31"/>
      <c r="F62" s="32"/>
      <c r="G62" s="31"/>
      <c r="H62" s="32"/>
      <c r="I62" s="31"/>
    </row>
    <row r="63" spans="1:9" x14ac:dyDescent="0.25">
      <c r="A63" s="25"/>
      <c r="B63" s="30"/>
      <c r="C63" s="33"/>
      <c r="D63" s="32"/>
      <c r="E63" s="31"/>
      <c r="F63" s="32"/>
      <c r="G63" s="31"/>
      <c r="H63" s="32"/>
      <c r="I63" s="31"/>
    </row>
    <row r="64" spans="1:9" x14ac:dyDescent="0.25">
      <c r="A64" s="25"/>
      <c r="B64" s="30"/>
      <c r="C64" s="31"/>
      <c r="D64" s="32"/>
      <c r="E64" s="33"/>
      <c r="F64" s="32"/>
      <c r="G64" s="33"/>
      <c r="H64" s="32"/>
      <c r="I64" s="31"/>
    </row>
    <row r="65" spans="1:9" x14ac:dyDescent="0.25">
      <c r="A65" s="25"/>
      <c r="B65" s="30"/>
      <c r="C65" s="31"/>
      <c r="D65" s="32"/>
      <c r="E65" s="31"/>
      <c r="F65" s="32"/>
      <c r="G65" s="33"/>
      <c r="H65" s="32"/>
      <c r="I65" s="31"/>
    </row>
    <row r="66" spans="1:9" x14ac:dyDescent="0.25">
      <c r="A66" s="25"/>
      <c r="B66" s="30"/>
      <c r="C66" s="33"/>
      <c r="D66" s="32"/>
      <c r="E66" s="31"/>
      <c r="F66" s="32"/>
      <c r="G66" s="31"/>
      <c r="H66" s="30"/>
      <c r="I66" s="31"/>
    </row>
    <row r="67" spans="1:9" x14ac:dyDescent="0.25">
      <c r="A67" s="25"/>
      <c r="B67" s="30"/>
      <c r="C67" s="31"/>
      <c r="D67" s="32"/>
      <c r="E67" s="31"/>
      <c r="F67" s="32"/>
      <c r="G67" s="31"/>
      <c r="H67" s="32"/>
      <c r="I67" s="33"/>
    </row>
    <row r="68" spans="1:9" x14ac:dyDescent="0.25">
      <c r="A68" s="25"/>
      <c r="B68" s="30"/>
      <c r="C68" s="31"/>
      <c r="D68" s="32"/>
      <c r="E68" s="31"/>
      <c r="F68" s="30"/>
      <c r="G68" s="31"/>
      <c r="H68" s="32"/>
      <c r="I68" s="33"/>
    </row>
    <row r="69" spans="1:9" x14ac:dyDescent="0.25">
      <c r="A69" s="25"/>
      <c r="B69" s="30"/>
      <c r="C69" s="33"/>
      <c r="D69" s="32"/>
      <c r="E69" s="31"/>
      <c r="F69" s="32"/>
      <c r="G69" s="31"/>
      <c r="H69" s="32"/>
      <c r="I69" s="31"/>
    </row>
    <row r="70" spans="1:9" x14ac:dyDescent="0.25">
      <c r="A70" s="25"/>
      <c r="B70" s="30"/>
      <c r="C70" s="31"/>
      <c r="D70" s="30"/>
      <c r="E70" s="31"/>
      <c r="F70" s="32"/>
      <c r="G70" s="31"/>
      <c r="H70" s="30"/>
      <c r="I70" s="31"/>
    </row>
    <row r="71" spans="1:9" x14ac:dyDescent="0.25">
      <c r="A71" s="25"/>
      <c r="B71" s="30"/>
      <c r="C71" s="31"/>
      <c r="D71" s="32"/>
      <c r="E71" s="31"/>
      <c r="F71" s="32"/>
      <c r="G71" s="31"/>
      <c r="H71" s="32"/>
      <c r="I71" s="33"/>
    </row>
    <row r="72" spans="1:9" x14ac:dyDescent="0.25">
      <c r="A72" s="25"/>
      <c r="B72" s="30"/>
      <c r="C72" s="33"/>
      <c r="D72" s="32"/>
      <c r="E72" s="31"/>
      <c r="F72" s="32"/>
      <c r="G72" s="31"/>
      <c r="H72" s="32"/>
      <c r="I72" s="31"/>
    </row>
    <row r="73" spans="1:9" x14ac:dyDescent="0.25">
      <c r="A73" s="25"/>
      <c r="B73" s="30"/>
      <c r="C73" s="31"/>
      <c r="D73" s="32"/>
      <c r="E73" s="31"/>
      <c r="F73" s="32"/>
      <c r="G73" s="31"/>
      <c r="H73" s="32"/>
      <c r="I73" s="33"/>
    </row>
    <row r="74" spans="1:9" x14ac:dyDescent="0.25">
      <c r="A74" s="25"/>
      <c r="B74" s="32"/>
      <c r="C74" s="31"/>
      <c r="D74" s="32"/>
      <c r="E74" s="31"/>
      <c r="F74" s="32"/>
      <c r="G74" s="31"/>
      <c r="H74" s="32"/>
      <c r="I74" s="31"/>
    </row>
    <row r="75" spans="1:9" x14ac:dyDescent="0.25">
      <c r="A75" s="25"/>
      <c r="B75" s="30"/>
      <c r="C75" s="31"/>
      <c r="D75" s="32"/>
      <c r="E75" s="33"/>
      <c r="F75" s="32"/>
      <c r="G75" s="31"/>
      <c r="H75" s="32"/>
      <c r="I75" s="31"/>
    </row>
    <row r="76" spans="1:9" x14ac:dyDescent="0.25">
      <c r="A76" s="25"/>
      <c r="B76" s="30"/>
      <c r="C76" s="31"/>
      <c r="D76" s="32"/>
      <c r="E76" s="33"/>
      <c r="F76" s="30"/>
      <c r="G76" s="31"/>
      <c r="H76" s="32"/>
      <c r="I76" s="33"/>
    </row>
    <row r="77" spans="1:9" x14ac:dyDescent="0.25">
      <c r="A77" s="25"/>
      <c r="B77" s="32"/>
      <c r="C77" s="31"/>
      <c r="D77" s="32"/>
      <c r="E77" s="31"/>
      <c r="F77" s="32"/>
      <c r="G77" s="31"/>
      <c r="H77" s="32"/>
      <c r="I77" s="31"/>
    </row>
    <row r="78" spans="1:9" x14ac:dyDescent="0.25">
      <c r="A78" s="25"/>
      <c r="B78" s="30"/>
      <c r="C78" s="31"/>
      <c r="D78" s="32"/>
      <c r="E78" s="31"/>
      <c r="F78" s="32"/>
      <c r="G78" s="31"/>
      <c r="H78" s="30"/>
      <c r="I78" s="31"/>
    </row>
    <row r="79" spans="1:9" x14ac:dyDescent="0.25">
      <c r="A79" s="25"/>
      <c r="B79" s="30"/>
      <c r="C79" s="31"/>
      <c r="D79" s="32"/>
      <c r="E79" s="33"/>
      <c r="F79" s="32"/>
      <c r="G79" s="31"/>
      <c r="H79" s="32"/>
      <c r="I79" s="31"/>
    </row>
    <row r="80" spans="1:9" x14ac:dyDescent="0.25">
      <c r="A80" s="25"/>
      <c r="B80" s="30"/>
      <c r="C80" s="31"/>
      <c r="D80" s="32"/>
      <c r="E80" s="31"/>
      <c r="F80" s="32"/>
      <c r="G80" s="33"/>
      <c r="H80" s="32"/>
      <c r="I80" s="31"/>
    </row>
    <row r="81" spans="1:9" x14ac:dyDescent="0.25">
      <c r="A81" s="25"/>
      <c r="B81" s="30"/>
      <c r="C81" s="31"/>
      <c r="D81" s="32"/>
      <c r="E81" s="31"/>
      <c r="F81" s="32"/>
      <c r="G81" s="31"/>
      <c r="H81" s="30"/>
      <c r="I81" s="31"/>
    </row>
    <row r="82" spans="1:9" x14ac:dyDescent="0.25">
      <c r="A82" s="25"/>
      <c r="B82" s="30"/>
      <c r="C82" s="31"/>
      <c r="D82" s="32"/>
      <c r="E82" s="31"/>
      <c r="F82" s="32"/>
      <c r="G82" s="33"/>
      <c r="H82" s="32"/>
      <c r="I82" s="31"/>
    </row>
    <row r="83" spans="1:9" x14ac:dyDescent="0.25">
      <c r="A83" s="25"/>
      <c r="B83" s="30"/>
      <c r="C83" s="33"/>
      <c r="D83" s="30"/>
      <c r="E83" s="31"/>
      <c r="F83" s="32"/>
      <c r="G83" s="31"/>
      <c r="H83" s="32"/>
      <c r="I83" s="33"/>
    </row>
    <row r="84" spans="1:9" x14ac:dyDescent="0.25">
      <c r="A84" s="25"/>
      <c r="B84" s="30"/>
      <c r="C84" s="31"/>
      <c r="D84" s="32"/>
      <c r="E84" s="31"/>
      <c r="F84" s="32"/>
      <c r="G84" s="33"/>
      <c r="H84" s="32"/>
      <c r="I84" s="31"/>
    </row>
    <row r="85" spans="1:9" x14ac:dyDescent="0.25">
      <c r="A85" s="25"/>
      <c r="B85" s="30"/>
      <c r="C85" s="31"/>
      <c r="D85" s="30"/>
      <c r="E85" s="31"/>
      <c r="F85" s="32"/>
      <c r="G85" s="33"/>
      <c r="H85" s="32"/>
      <c r="I85" s="31"/>
    </row>
    <row r="86" spans="1:9" x14ac:dyDescent="0.25">
      <c r="A86" s="25"/>
      <c r="B86" s="30"/>
      <c r="C86" s="31"/>
      <c r="D86" s="32"/>
      <c r="E86" s="31"/>
      <c r="F86" s="30"/>
      <c r="G86" s="31"/>
      <c r="H86" s="32"/>
      <c r="I86" s="33"/>
    </row>
    <row r="87" spans="1:9" x14ac:dyDescent="0.25">
      <c r="A87" s="25"/>
      <c r="B87" s="30"/>
      <c r="C87" s="31"/>
      <c r="D87" s="32"/>
      <c r="E87" s="31"/>
      <c r="F87" s="30"/>
      <c r="G87" s="31"/>
      <c r="H87" s="30"/>
      <c r="I87" s="31"/>
    </row>
    <row r="88" spans="1:9" x14ac:dyDescent="0.25">
      <c r="A88" s="25"/>
      <c r="B88" s="30"/>
      <c r="C88" s="33"/>
      <c r="D88" s="32"/>
      <c r="E88" s="31"/>
      <c r="F88" s="32"/>
      <c r="G88" s="31"/>
      <c r="H88" s="32"/>
      <c r="I88" s="31"/>
    </row>
    <row r="89" spans="1:9" x14ac:dyDescent="0.25">
      <c r="A89" s="25"/>
      <c r="B89" s="30"/>
      <c r="C89" s="31"/>
      <c r="D89" s="32"/>
      <c r="E89" s="31"/>
      <c r="F89" s="32"/>
      <c r="G89" s="31"/>
      <c r="H89" s="32"/>
      <c r="I89" s="33"/>
    </row>
    <row r="90" spans="1:9" x14ac:dyDescent="0.25">
      <c r="A90" s="25"/>
      <c r="B90" s="30"/>
      <c r="C90" s="31"/>
      <c r="D90" s="32"/>
      <c r="E90" s="31"/>
      <c r="F90" s="32"/>
      <c r="G90" s="33"/>
      <c r="H90" s="32"/>
      <c r="I90" s="31"/>
    </row>
    <row r="91" spans="1:9" x14ac:dyDescent="0.25">
      <c r="A91" s="25"/>
      <c r="B91" s="30"/>
      <c r="C91" s="33"/>
      <c r="D91" s="32"/>
      <c r="E91" s="31"/>
      <c r="F91" s="32"/>
      <c r="G91" s="31"/>
      <c r="H91" s="32"/>
      <c r="I91" s="31"/>
    </row>
    <row r="92" spans="1:9" x14ac:dyDescent="0.25">
      <c r="A92" s="25"/>
      <c r="B92" s="30"/>
      <c r="C92" s="31"/>
      <c r="D92" s="32"/>
      <c r="E92" s="33"/>
      <c r="F92" s="32"/>
      <c r="G92" s="31"/>
      <c r="H92" s="30"/>
      <c r="I92" s="31"/>
    </row>
    <row r="93" spans="1:9" x14ac:dyDescent="0.25">
      <c r="A93" s="25"/>
      <c r="B93" s="30"/>
      <c r="C93" s="31"/>
      <c r="D93" s="32"/>
      <c r="E93" s="31"/>
      <c r="F93" s="32"/>
      <c r="G93" s="31"/>
      <c r="H93" s="32"/>
      <c r="I93" s="33"/>
    </row>
    <row r="94" spans="1:9" x14ac:dyDescent="0.25">
      <c r="A94" s="25"/>
      <c r="B94" s="30"/>
      <c r="C94" s="33"/>
      <c r="D94" s="32"/>
      <c r="E94" s="31"/>
      <c r="F94" s="32"/>
      <c r="G94" s="31"/>
      <c r="H94" s="32"/>
      <c r="I94" s="31"/>
    </row>
    <row r="95" spans="1:9" x14ac:dyDescent="0.25">
      <c r="A95" s="25"/>
      <c r="B95" s="30"/>
      <c r="C95" s="31"/>
      <c r="D95" s="32"/>
      <c r="E95" s="31"/>
      <c r="F95" s="32"/>
      <c r="G95" s="33"/>
      <c r="H95" s="32"/>
      <c r="I95" s="33"/>
    </row>
    <row r="96" spans="1:9" x14ac:dyDescent="0.25">
      <c r="A96" s="25"/>
      <c r="B96" s="30"/>
      <c r="C96" s="33"/>
      <c r="D96" s="32"/>
      <c r="E96" s="31"/>
      <c r="F96" s="32"/>
      <c r="G96" s="31"/>
      <c r="H96" s="32"/>
      <c r="I96" s="31"/>
    </row>
    <row r="97" spans="1:9" x14ac:dyDescent="0.25">
      <c r="A97" s="25"/>
      <c r="B97" s="30"/>
      <c r="C97" s="31"/>
      <c r="D97" s="32"/>
      <c r="E97" s="33"/>
      <c r="F97" s="32"/>
      <c r="G97" s="31"/>
      <c r="H97" s="32"/>
      <c r="I97" s="31"/>
    </row>
    <row r="98" spans="1:9" x14ac:dyDescent="0.25">
      <c r="A98" s="25"/>
      <c r="B98" s="30"/>
      <c r="C98" s="31"/>
      <c r="D98" s="32"/>
      <c r="E98" s="31"/>
      <c r="F98" s="30"/>
      <c r="G98" s="31"/>
      <c r="H98" s="32"/>
      <c r="I98" s="31"/>
    </row>
    <row r="99" spans="1:9" x14ac:dyDescent="0.25">
      <c r="A99" s="25"/>
      <c r="B99" s="30"/>
      <c r="C99" s="31"/>
      <c r="D99" s="32"/>
      <c r="E99" s="31"/>
      <c r="F99" s="32"/>
      <c r="G99" s="33"/>
      <c r="H99" s="32"/>
      <c r="I99" s="31"/>
    </row>
    <row r="100" spans="1:9" x14ac:dyDescent="0.25">
      <c r="A100" s="25"/>
      <c r="B100" s="30"/>
      <c r="C100" s="31"/>
      <c r="D100" s="32"/>
      <c r="E100" s="31"/>
      <c r="F100" s="32"/>
      <c r="G100" s="33"/>
      <c r="H100" s="32"/>
      <c r="I100" s="31"/>
    </row>
    <row r="101" spans="1:9" x14ac:dyDescent="0.25">
      <c r="A101" s="25"/>
      <c r="B101" s="30"/>
      <c r="C101" s="31"/>
      <c r="D101" s="32"/>
      <c r="E101" s="31"/>
      <c r="F101" s="30"/>
      <c r="G101" s="33"/>
      <c r="H101" s="32"/>
      <c r="I101" s="31"/>
    </row>
    <row r="102" spans="1:9" x14ac:dyDescent="0.25">
      <c r="A102" s="25"/>
      <c r="B102" s="30"/>
      <c r="C102" s="31"/>
      <c r="D102" s="32"/>
      <c r="E102" s="31"/>
      <c r="F102" s="30"/>
      <c r="G102" s="31"/>
      <c r="H102" s="32"/>
      <c r="I102" s="33"/>
    </row>
    <row r="103" spans="1:9" x14ac:dyDescent="0.25">
      <c r="A103" s="25"/>
      <c r="B103" s="30"/>
      <c r="C103" s="31"/>
      <c r="D103" s="32"/>
      <c r="E103" s="31"/>
      <c r="F103" s="32"/>
      <c r="G103" s="33"/>
      <c r="H103" s="32"/>
      <c r="I103" s="31"/>
    </row>
    <row r="104" spans="1:9" x14ac:dyDescent="0.25">
      <c r="A104" s="25"/>
      <c r="B104" s="30"/>
      <c r="C104" s="31"/>
      <c r="D104" s="32"/>
      <c r="E104" s="31"/>
      <c r="F104" s="30"/>
      <c r="G104" s="33"/>
      <c r="H104" s="32"/>
      <c r="I104" s="31"/>
    </row>
    <row r="105" spans="1:9" x14ac:dyDescent="0.25">
      <c r="A105" s="25"/>
      <c r="B105" s="30"/>
      <c r="C105" s="31"/>
      <c r="D105" s="32"/>
      <c r="E105" s="33"/>
      <c r="F105" s="32"/>
      <c r="G105" s="31"/>
      <c r="H105" s="32"/>
      <c r="I105" s="31"/>
    </row>
    <row r="106" spans="1:9" x14ac:dyDescent="0.25">
      <c r="A106" s="25"/>
      <c r="B106" s="30"/>
      <c r="C106" s="33"/>
      <c r="D106" s="32"/>
      <c r="E106" s="31"/>
      <c r="F106" s="32"/>
      <c r="G106" s="31"/>
      <c r="H106" s="32"/>
      <c r="I106" s="31"/>
    </row>
    <row r="107" spans="1:9" x14ac:dyDescent="0.25">
      <c r="A107" s="25"/>
      <c r="B107" s="30"/>
      <c r="C107" s="31"/>
      <c r="D107" s="32"/>
      <c r="E107" s="31"/>
      <c r="F107" s="32"/>
      <c r="G107" s="31"/>
      <c r="H107" s="30"/>
      <c r="I107" s="33"/>
    </row>
    <row r="108" spans="1:9" x14ac:dyDescent="0.25">
      <c r="A108" s="25"/>
      <c r="B108" s="30"/>
      <c r="C108" s="33"/>
      <c r="D108" s="32"/>
      <c r="E108" s="31"/>
      <c r="F108" s="32"/>
      <c r="G108" s="33"/>
      <c r="H108" s="32"/>
      <c r="I108" s="31"/>
    </row>
    <row r="109" spans="1:9" x14ac:dyDescent="0.25">
      <c r="A109" s="25"/>
      <c r="B109" s="30"/>
      <c r="C109" s="33"/>
      <c r="D109" s="32"/>
      <c r="E109" s="31"/>
      <c r="F109" s="32"/>
      <c r="G109" s="31"/>
      <c r="H109" s="32"/>
      <c r="I109" s="31"/>
    </row>
    <row r="110" spans="1:9" x14ac:dyDescent="0.25">
      <c r="A110" s="25"/>
      <c r="B110" s="30"/>
      <c r="C110" s="31"/>
      <c r="D110" s="30"/>
      <c r="E110" s="31"/>
      <c r="F110" s="30"/>
      <c r="G110" s="31"/>
      <c r="H110" s="30"/>
      <c r="I110" s="31"/>
    </row>
    <row r="111" spans="1:9" x14ac:dyDescent="0.25">
      <c r="A111" s="25"/>
      <c r="B111" s="30"/>
      <c r="C111" s="31"/>
      <c r="D111" s="32"/>
      <c r="E111" s="33"/>
      <c r="F111" s="32"/>
      <c r="G111" s="31"/>
      <c r="H111" s="32"/>
      <c r="I111" s="31"/>
    </row>
    <row r="112" spans="1:9" x14ac:dyDescent="0.25">
      <c r="A112" s="25"/>
      <c r="B112" s="30"/>
      <c r="C112" s="31"/>
      <c r="D112" s="30"/>
      <c r="E112" s="31"/>
      <c r="F112" s="32"/>
      <c r="G112" s="31"/>
      <c r="H112" s="32"/>
      <c r="I112" s="31"/>
    </row>
    <row r="113" spans="1:9" x14ac:dyDescent="0.25">
      <c r="A113" s="25"/>
      <c r="B113" s="30"/>
      <c r="C113" s="33"/>
      <c r="D113" s="32"/>
      <c r="E113" s="31"/>
      <c r="F113" s="32"/>
      <c r="G113" s="31"/>
      <c r="H113" s="32"/>
      <c r="I113" s="31"/>
    </row>
    <row r="114" spans="1:9" x14ac:dyDescent="0.25">
      <c r="A114" s="25"/>
      <c r="B114" s="30"/>
      <c r="C114" s="33"/>
      <c r="D114" s="30"/>
      <c r="E114" s="31"/>
      <c r="F114" s="32"/>
      <c r="G114" s="31"/>
      <c r="H114" s="32"/>
      <c r="I114" s="31"/>
    </row>
    <row r="115" spans="1:9" x14ac:dyDescent="0.25">
      <c r="A115" s="25"/>
      <c r="B115" s="30"/>
      <c r="C115" s="31"/>
      <c r="D115" s="30"/>
      <c r="E115" s="31"/>
      <c r="F115" s="32"/>
      <c r="G115" s="31"/>
      <c r="H115" s="32"/>
      <c r="I115" s="33"/>
    </row>
    <row r="116" spans="1:9" x14ac:dyDescent="0.25">
      <c r="A116" s="34"/>
      <c r="B116" s="35"/>
      <c r="C116" s="36"/>
      <c r="D116" s="35"/>
      <c r="E116" s="36"/>
      <c r="F116" s="35"/>
      <c r="G116" s="36"/>
      <c r="H116" s="35"/>
      <c r="I116" s="36"/>
    </row>
    <row r="117" spans="1:9" x14ac:dyDescent="0.25">
      <c r="A117" s="19"/>
      <c r="B117" s="20"/>
      <c r="C117" s="20"/>
      <c r="D117" s="21"/>
      <c r="E117" s="21"/>
    </row>
    <row r="118" spans="1:9" x14ac:dyDescent="0.25">
      <c r="A118" s="19"/>
      <c r="B118" s="20"/>
      <c r="C118" s="21"/>
      <c r="D118" s="21"/>
      <c r="E118" s="21"/>
    </row>
    <row r="119" spans="1:9" x14ac:dyDescent="0.25">
      <c r="A119" s="19"/>
      <c r="B119" s="20"/>
      <c r="C119" s="21"/>
      <c r="D119" s="21"/>
      <c r="E119" s="21"/>
    </row>
    <row r="120" spans="1:9" x14ac:dyDescent="0.25">
      <c r="A120" s="19"/>
      <c r="B120" s="20"/>
      <c r="C120" s="21"/>
      <c r="D120" s="21"/>
      <c r="E120" s="20"/>
    </row>
    <row r="121" spans="1:9" x14ac:dyDescent="0.25">
      <c r="A121" s="19"/>
      <c r="B121" s="20"/>
      <c r="C121" s="21"/>
      <c r="D121" s="21"/>
      <c r="E121" s="21"/>
    </row>
    <row r="122" spans="1:9" x14ac:dyDescent="0.25">
      <c r="A122" s="19"/>
      <c r="B122" s="20"/>
      <c r="C122" s="21"/>
      <c r="D122" s="21"/>
      <c r="E122" s="21"/>
    </row>
    <row r="123" spans="1:9" x14ac:dyDescent="0.25">
      <c r="A123" s="19"/>
      <c r="B123" s="20"/>
      <c r="C123" s="21"/>
      <c r="D123" s="21"/>
      <c r="E123" s="21"/>
    </row>
    <row r="124" spans="1:9" x14ac:dyDescent="0.25">
      <c r="A124" s="19"/>
      <c r="B124" s="20"/>
      <c r="C124" s="20"/>
      <c r="D124" s="21"/>
      <c r="E124" s="21"/>
    </row>
    <row r="125" spans="1:9" x14ac:dyDescent="0.25">
      <c r="A125" s="19"/>
      <c r="B125" s="20"/>
      <c r="C125" s="21"/>
      <c r="D125" s="21"/>
      <c r="E125" s="21"/>
    </row>
    <row r="126" spans="1:9" x14ac:dyDescent="0.25">
      <c r="A126" s="22"/>
      <c r="B126" s="23"/>
      <c r="C126" s="23"/>
      <c r="D126" s="23"/>
      <c r="E126" s="2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Zebronics</dc:title>
  <dc:creator>TG Ishan</dc:creator>
  <cp:keywords>Zebronics</cp:keywords>
  <cp:lastModifiedBy>TG Ishan</cp:lastModifiedBy>
  <dcterms:created xsi:type="dcterms:W3CDTF">2026-05-12T09:31:40Z</dcterms:created>
  <dcterms:modified xsi:type="dcterms:W3CDTF">2026-08-21T06:21:41Z</dcterms:modified>
</cp:coreProperties>
</file>