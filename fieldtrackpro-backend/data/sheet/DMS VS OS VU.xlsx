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CE SGRG DATA\"/>
    </mc:Choice>
  </mc:AlternateContent>
  <xr:revisionPtr revIDLastSave="0" documentId="8_{216B7B70-F764-4EFD-BCEF-BF7382F84FB2}" xr6:coauthVersionLast="47" xr6:coauthVersionMax="47" xr10:uidLastSave="{00000000-0000-0000-0000-000000000000}"/>
  <bookViews>
    <workbookView xWindow="-120" yWindow="-120" windowWidth="29040" windowHeight="15720" xr2:uid="{FAD764FD-1F44-4A69-A682-3188F9021ABA}"/>
  </bookViews>
  <sheets>
    <sheet name="Sheet1" sheetId="1" r:id="rId1"/>
    <sheet name="Sheet2" sheetId="2" r:id="rId2"/>
  </sheets>
  <definedNames>
    <definedName name="_xlnm._FilterDatabase" localSheetId="0" hidden="1">Sheet1!$A$3:$M$3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F2" i="1"/>
  <c r="H1" i="1"/>
  <c r="E2" i="1" l="1"/>
  <c r="C2" i="1"/>
  <c r="D2" i="1"/>
  <c r="M2" i="1"/>
  <c r="G2" i="1"/>
  <c r="H2" i="1"/>
  <c r="L2" i="1"/>
  <c r="K2" i="1"/>
  <c r="J2" i="1"/>
</calcChain>
</file>

<file path=xl/sharedStrings.xml><?xml version="1.0" encoding="utf-8"?>
<sst xmlns="http://schemas.openxmlformats.org/spreadsheetml/2006/main" count="601" uniqueCount="313">
  <si>
    <t>Aarna Enterprises (VU)</t>
  </si>
  <si>
    <t>City Electronic &amp; Sales  (VU)</t>
  </si>
  <si>
    <t>Imagine Electronics (VU)</t>
  </si>
  <si>
    <t>Wireless House (Agencies) (VU)</t>
  </si>
  <si>
    <t>Apollo Electronics (VU)</t>
  </si>
  <si>
    <t>B.Avis Electronics (VU)</t>
  </si>
  <si>
    <t>Gautam Groups (VU)</t>
  </si>
  <si>
    <t>Gupta Electroniks (VU)</t>
  </si>
  <si>
    <t>Gupta T.V. Centre (VU)</t>
  </si>
  <si>
    <t>JMD TRADING COMPANY (VU)</t>
  </si>
  <si>
    <t>New Vinod Electronics (Vu)</t>
  </si>
  <si>
    <t>Rishabh Refrigeration (Vu)</t>
  </si>
  <si>
    <t>Sri Hari Elctranics (VU)</t>
  </si>
  <si>
    <t>The Royal Electronic and Mobile (VU)</t>
  </si>
  <si>
    <t>Vishwkarma and Sons (Vu)</t>
  </si>
  <si>
    <t>Abhay Trading Company (VU)</t>
  </si>
  <si>
    <t>Kashika Enterprises (VU)</t>
  </si>
  <si>
    <t>Melody House (VU)</t>
  </si>
  <si>
    <t>New Harsh Electronics (VU)</t>
  </si>
  <si>
    <t>New Sahgal Traders (VU)</t>
  </si>
  <si>
    <t>Pd Computers Private Limited (VU)</t>
  </si>
  <si>
    <t>Ruchi Electronics (VU)</t>
  </si>
  <si>
    <t>Sanstech Vision (VU)</t>
  </si>
  <si>
    <t>Shivaay Eanterprises (Vu)</t>
  </si>
  <si>
    <t>Bindra Radio and  Elec Corp (VU)</t>
  </si>
  <si>
    <t>Chauhan Furniture &amp; Electronics (VU)</t>
  </si>
  <si>
    <t>Daksh Electricals &amp; Electronics (VU)</t>
  </si>
  <si>
    <t>Kandioners Sales (P) Ltd  (VU)</t>
  </si>
  <si>
    <t>Mahendra and Sons (VU)</t>
  </si>
  <si>
    <t>Shekhar's Sales (VU)</t>
  </si>
  <si>
    <t>Shyam Traders (VU)</t>
  </si>
  <si>
    <t>Viswakarma Furniture (VU)</t>
  </si>
  <si>
    <t>Climate World  (VU)</t>
  </si>
  <si>
    <t>Jai Mata Di Electronics (VU)</t>
  </si>
  <si>
    <t>Rajesh Electronics (VU)</t>
  </si>
  <si>
    <t>Shivam Electrical &amp; Electronic (VU)</t>
  </si>
  <si>
    <t>Shree Ganesh Enterprises (VU)</t>
  </si>
  <si>
    <t>Amar Electronics (VU)</t>
  </si>
  <si>
    <t>Anant Electricals VU</t>
  </si>
  <si>
    <t>Anurag Electronices  (VU)</t>
  </si>
  <si>
    <t>Baba Yogeshwar Telicom and Electronics (VU)</t>
  </si>
  <si>
    <t>Babul Mobile World (VU)</t>
  </si>
  <si>
    <t>Deep Electronics  (VU)</t>
  </si>
  <si>
    <t>Fairdeal  Electronics  (VU)</t>
  </si>
  <si>
    <t>Hardev Mobile Shop (VU)</t>
  </si>
  <si>
    <t>Hi Tech Computer and Stationers (VU)</t>
  </si>
  <si>
    <t>Jbs Digital (Vu)</t>
  </si>
  <si>
    <t>Mahamaya Mega Mart</t>
  </si>
  <si>
    <t>Milan Electronic  (Vu)</t>
  </si>
  <si>
    <t>Mobi Infotech (VU)</t>
  </si>
  <si>
    <t>Mobile Wala (VU)</t>
  </si>
  <si>
    <t>Mohan Telecom (VU)</t>
  </si>
  <si>
    <t>Naraini Electro World (VU)</t>
  </si>
  <si>
    <t>New Krishna Electronics (VU)</t>
  </si>
  <si>
    <t>New Lotus Electronics (VU)</t>
  </si>
  <si>
    <t>New Roli Electronics (VU)</t>
  </si>
  <si>
    <t>Om Sai Electronics (VU)</t>
  </si>
  <si>
    <t>Rama Electronics (VU)</t>
  </si>
  <si>
    <t>Rashmi International (VU)</t>
  </si>
  <si>
    <t>Rishi Muni Mobile (VU)</t>
  </si>
  <si>
    <t>Ritz Enterprises (VU)</t>
  </si>
  <si>
    <t>Rudra Mobile  (VU)</t>
  </si>
  <si>
    <t>Sanjay Electronics (VU)</t>
  </si>
  <si>
    <t>Sanvi Enterprises (VU)</t>
  </si>
  <si>
    <t>Sapna Electroniocs (VU)</t>
  </si>
  <si>
    <t>Sapna T V Agencies (VU)</t>
  </si>
  <si>
    <t>Satguru Electronics and Mobile Centre (VU)</t>
  </si>
  <si>
    <t>Shree Bhagwati Telecom (VU)</t>
  </si>
  <si>
    <t>Shree Gajanan  Electronics (VU)</t>
  </si>
  <si>
    <t>Shri Thakur Electronics (VU)</t>
  </si>
  <si>
    <t>Shukla Sales(S.S) (VU)</t>
  </si>
  <si>
    <t>Spectra World (VU)</t>
  </si>
  <si>
    <t>Tech Gallery (VU)</t>
  </si>
  <si>
    <t>Telephone Point (VU)</t>
  </si>
  <si>
    <t>Unisef Marketing (VU)</t>
  </si>
  <si>
    <t>Vashi Mobile (VU)</t>
  </si>
  <si>
    <t>Raghvendra</t>
  </si>
  <si>
    <t>Sgrg Automobiles</t>
  </si>
  <si>
    <t>Vivek Sharma</t>
  </si>
  <si>
    <t>Total</t>
  </si>
  <si>
    <t>DMS Code</t>
  </si>
  <si>
    <t>OUTLET_NAME</t>
  </si>
  <si>
    <t>MARKET_OS</t>
  </si>
  <si>
    <t>SGRGVU205</t>
  </si>
  <si>
    <t>SGRGVU211</t>
  </si>
  <si>
    <t>SGRGVU214</t>
  </si>
  <si>
    <t>SGRGVU217</t>
  </si>
  <si>
    <t>SGRGVU229</t>
  </si>
  <si>
    <t>SGRGVU256</t>
  </si>
  <si>
    <t>SGRGVU259</t>
  </si>
  <si>
    <t>SGRGVU274</t>
  </si>
  <si>
    <t>SGRGVU277</t>
  </si>
  <si>
    <t>SGRGVU301</t>
  </si>
  <si>
    <t>SGRGVU325</t>
  </si>
  <si>
    <t>SGRGVU331</t>
  </si>
  <si>
    <t>SGRGVU343</t>
  </si>
  <si>
    <t>SGRGVU358</t>
  </si>
  <si>
    <t>SGRGVU361</t>
  </si>
  <si>
    <t>SGRGVU379</t>
  </si>
  <si>
    <t>SGRGVU382</t>
  </si>
  <si>
    <t>SGRGVU385</t>
  </si>
  <si>
    <t>SGRGVU409</t>
  </si>
  <si>
    <t>SGRGVU418</t>
  </si>
  <si>
    <t>SGRGVU442</t>
  </si>
  <si>
    <t>(&lt; 15 days )</t>
  </si>
  <si>
    <t>15 to 30 days</t>
  </si>
  <si>
    <r>
      <t xml:space="preserve">SGRG SERVICES PRIVATE LIMITED,KANPUR &amp; Unnao
</t>
    </r>
    <r>
      <rPr>
        <b/>
        <sz val="26"/>
        <color rgb="FFFF0000"/>
        <rFont val="Aptos Narrow"/>
        <family val="2"/>
        <scheme val="minor"/>
      </rPr>
      <t xml:space="preserve">         OS Report</t>
    </r>
    <r>
      <rPr>
        <b/>
        <sz val="26"/>
        <color theme="1"/>
        <rFont val="Aptos Narrow"/>
        <family val="2"/>
        <scheme val="minor"/>
      </rPr>
      <t xml:space="preserve"> </t>
    </r>
    <r>
      <rPr>
        <b/>
        <sz val="26"/>
        <color rgb="FFFF0000"/>
        <rFont val="Aptos Narrow"/>
        <family val="2"/>
        <scheme val="minor"/>
      </rPr>
      <t xml:space="preserve">(VU)                                                       </t>
    </r>
  </si>
  <si>
    <t>Date :-</t>
  </si>
  <si>
    <t>Jai Maa Laxmi Electronics (Vu)</t>
  </si>
  <si>
    <t>Prayagraj</t>
  </si>
  <si>
    <t>Jitendra</t>
  </si>
  <si>
    <t>Varanasi</t>
  </si>
  <si>
    <t>Mau</t>
  </si>
  <si>
    <t>Ballia</t>
  </si>
  <si>
    <t>Kanpur Nagar</t>
  </si>
  <si>
    <t>Sahil</t>
  </si>
  <si>
    <t>Gujaini</t>
  </si>
  <si>
    <t>Govind Nagar</t>
  </si>
  <si>
    <t>Yogesh</t>
  </si>
  <si>
    <t>Gorakhpur</t>
  </si>
  <si>
    <t>Lucknow</t>
  </si>
  <si>
    <t>Aliganj</t>
  </si>
  <si>
    <t>UK</t>
  </si>
  <si>
    <t>Garhwal</t>
  </si>
  <si>
    <t>Lalbangla</t>
  </si>
  <si>
    <t>Naubasta</t>
  </si>
  <si>
    <t>Satbari Road</t>
  </si>
  <si>
    <t>Dehradun</t>
  </si>
  <si>
    <t>UPW</t>
  </si>
  <si>
    <t>meerut</t>
  </si>
  <si>
    <t>Unnao</t>
  </si>
  <si>
    <t>Moti Nagar</t>
  </si>
  <si>
    <t>Haridwar</t>
  </si>
  <si>
    <t>Billhaur</t>
  </si>
  <si>
    <t>Kushi Nagar</t>
  </si>
  <si>
    <t>Kalyanpur</t>
  </si>
  <si>
    <t>Dada Nagar</t>
  </si>
  <si>
    <t>Kannauj</t>
  </si>
  <si>
    <t>Tirwa</t>
  </si>
  <si>
    <t>Karachi Khana</t>
  </si>
  <si>
    <t>Jarauli</t>
  </si>
  <si>
    <t>Tikra</t>
  </si>
  <si>
    <t>Gomti Nagar</t>
  </si>
  <si>
    <t>Makrikhera</t>
  </si>
  <si>
    <t>Krishna Nagar</t>
  </si>
  <si>
    <t>Barelly</t>
  </si>
  <si>
    <t>Barra-4</t>
  </si>
  <si>
    <t>Swaroop Nagar</t>
  </si>
  <si>
    <t>Vijay Nagar</t>
  </si>
  <si>
    <t>Jawahar Nagar</t>
  </si>
  <si>
    <t>Bakar Ganj</t>
  </si>
  <si>
    <t>Juhi</t>
  </si>
  <si>
    <t>ZONE</t>
  </si>
  <si>
    <t>AREA</t>
  </si>
  <si>
    <t>FOS NAME</t>
  </si>
  <si>
    <t>the Feelings Mobile (VU)</t>
  </si>
  <si>
    <t>SGRGVU448</t>
  </si>
  <si>
    <t>Sandeep</t>
  </si>
  <si>
    <t>Gaurav Synthetics VU</t>
  </si>
  <si>
    <t>Khan Mobiles (VU)</t>
  </si>
  <si>
    <t>Mega Electronics Hub (VU)</t>
  </si>
  <si>
    <t>Planet Mobile Traders (VU)</t>
  </si>
  <si>
    <t>S S Electronics (VU)</t>
  </si>
  <si>
    <t>Union Radio &amp; Electric (VU)</t>
  </si>
  <si>
    <t>Mobile Hub Sanigawa (VU)</t>
  </si>
  <si>
    <t>M/s Jain Electronics (VU)</t>
  </si>
  <si>
    <t>Sarthak Electronics &amp; Furniture House (VU)</t>
  </si>
  <si>
    <t>D Mobile Company (VU)</t>
  </si>
  <si>
    <t>Jai Bala Ji Enterprises (VU)</t>
  </si>
  <si>
    <t>Jai Mata Di Electronics and Furniture (VU)</t>
  </si>
  <si>
    <t>Lokesh Enterprises</t>
  </si>
  <si>
    <t>M/s Heera Tele Communication (VU)</t>
  </si>
  <si>
    <t>New Nageshwar Prasad Telicom (VU)</t>
  </si>
  <si>
    <t>M/s Climate Control Rifrigeretion (VU)</t>
  </si>
  <si>
    <t>Apollo Radio (VU)</t>
  </si>
  <si>
    <t>Tapasvi Enterprises (VU)</t>
  </si>
  <si>
    <t>Rajendra and Company</t>
  </si>
  <si>
    <t>SGRGVU595</t>
  </si>
  <si>
    <t>SGRGVU742</t>
  </si>
  <si>
    <t>SGRGVU889</t>
  </si>
  <si>
    <t>SGRGVU1036</t>
  </si>
  <si>
    <t>SGRGVU1183</t>
  </si>
  <si>
    <t>SGRGVU1330</t>
  </si>
  <si>
    <t>SGRGVU1477</t>
  </si>
  <si>
    <t>SGRGVU1624</t>
  </si>
  <si>
    <t>SGRGVU1771</t>
  </si>
  <si>
    <t>SGRGVU1918</t>
  </si>
  <si>
    <t>SGRGVU2065</t>
  </si>
  <si>
    <t>SGRGVU2212</t>
  </si>
  <si>
    <t>SGRGVU2359</t>
  </si>
  <si>
    <t>SGRGVU2506</t>
  </si>
  <si>
    <t>SGRGVU2653</t>
  </si>
  <si>
    <t>SGRGVU2800</t>
  </si>
  <si>
    <t>SGRGVU2947</t>
  </si>
  <si>
    <t>SGRGVU3094</t>
  </si>
  <si>
    <t>SGRGVU3241</t>
  </si>
  <si>
    <t>SGRGVU3388</t>
  </si>
  <si>
    <t>SGRGVU3535</t>
  </si>
  <si>
    <t>SGRGVU3682</t>
  </si>
  <si>
    <t>SGRGVU3829</t>
  </si>
  <si>
    <t>SGRGVU3976</t>
  </si>
  <si>
    <t>SGRGVU4123</t>
  </si>
  <si>
    <t>SGRGVU4270</t>
  </si>
  <si>
    <t>SGRGVU4417</t>
  </si>
  <si>
    <t>SGRGVU4564</t>
  </si>
  <si>
    <t>SGRGVU4711</t>
  </si>
  <si>
    <t>SGRGVU4858</t>
  </si>
  <si>
    <t>SGRGVU5005</t>
  </si>
  <si>
    <t>SGRGVU5152</t>
  </si>
  <si>
    <t>SGRGVU5299</t>
  </si>
  <si>
    <t>SGRGVU5446</t>
  </si>
  <si>
    <t>SGRGVU5593</t>
  </si>
  <si>
    <t>SGRGVU5740</t>
  </si>
  <si>
    <t>SGRGVU5887</t>
  </si>
  <si>
    <t>SGRGVU6034</t>
  </si>
  <si>
    <t>SGRGVU6181</t>
  </si>
  <si>
    <t>SGRGVU6328</t>
  </si>
  <si>
    <t>SGRGVU6475</t>
  </si>
  <si>
    <t>SGRGVU6622</t>
  </si>
  <si>
    <t>SGRGVU6769</t>
  </si>
  <si>
    <t>SGRGVU6916</t>
  </si>
  <si>
    <t>SGRGVU7063</t>
  </si>
  <si>
    <t>SGRGVU7210</t>
  </si>
  <si>
    <t>SGRGVU7357</t>
  </si>
  <si>
    <t>SGRGVU7504</t>
  </si>
  <si>
    <t>SGRGVU7651</t>
  </si>
  <si>
    <t>SGRGVU7798</t>
  </si>
  <si>
    <t>SGRGVU7945</t>
  </si>
  <si>
    <t>SGRGVU8092</t>
  </si>
  <si>
    <t>SGRGVU8239</t>
  </si>
  <si>
    <t>SGRGVU8386</t>
  </si>
  <si>
    <t>SGRGVU8533</t>
  </si>
  <si>
    <t>SGRGVU8680</t>
  </si>
  <si>
    <t>SGRGVU8827</t>
  </si>
  <si>
    <t>SGRGVU8974</t>
  </si>
  <si>
    <t>SGRGVU9121</t>
  </si>
  <si>
    <t>SGRGVU9268</t>
  </si>
  <si>
    <t>SGRGVU9415</t>
  </si>
  <si>
    <t>SGRGVU9562</t>
  </si>
  <si>
    <t>SGRGVU9709</t>
  </si>
  <si>
    <t>SGRGVU9856</t>
  </si>
  <si>
    <t>SGRGVU10003</t>
  </si>
  <si>
    <t>SGRGVU10150</t>
  </si>
  <si>
    <t>SGRGVU10297</t>
  </si>
  <si>
    <t>SGRGVU10444</t>
  </si>
  <si>
    <t>SGRGVU10591</t>
  </si>
  <si>
    <t>SGRGVU10738</t>
  </si>
  <si>
    <t>SGRGVU10885</t>
  </si>
  <si>
    <t>SGRGVU11032</t>
  </si>
  <si>
    <t>SGRGVU11179</t>
  </si>
  <si>
    <t>SGRGVU11326</t>
  </si>
  <si>
    <t>SGRGVU11473</t>
  </si>
  <si>
    <t>SGRGVU11620</t>
  </si>
  <si>
    <t>SGRGVU11767</t>
  </si>
  <si>
    <t>Rahmani Market</t>
  </si>
  <si>
    <t>Jaunpur</t>
  </si>
  <si>
    <t>Farrukhabad</t>
  </si>
  <si>
    <t>Jhansi</t>
  </si>
  <si>
    <t>Bukhari Enterprises (VU)</t>
  </si>
  <si>
    <t>SGRGVU10663</t>
  </si>
  <si>
    <t>Raunak</t>
  </si>
  <si>
    <t>New Hari Synthetics (VU)</t>
  </si>
  <si>
    <t>Sadhna Electronics (VU)</t>
  </si>
  <si>
    <t>Chaurasia Electric and Electronics (VU)</t>
  </si>
  <si>
    <t>Krishna Furniture and Sales (VU)</t>
  </si>
  <si>
    <t>Sachin Hi Tech (VU)</t>
  </si>
  <si>
    <t>SGRGVU9122</t>
  </si>
  <si>
    <t>30 to 45 days</t>
  </si>
  <si>
    <t>45 to 60 days</t>
  </si>
  <si>
    <t>60 to 75 days</t>
  </si>
  <si>
    <t>75 to 90 days</t>
  </si>
  <si>
    <t>(&gt; 90 days )</t>
  </si>
  <si>
    <t>Asha Mobile Centre (VU)</t>
  </si>
  <si>
    <t>Future Electronics (VU)</t>
  </si>
  <si>
    <t>Raghav  Traders (VU)</t>
  </si>
  <si>
    <t>Sushma Electronics (VU)</t>
  </si>
  <si>
    <t>Arya Enterprises (VU)</t>
  </si>
  <si>
    <t>Kushwaha Sales (VU)</t>
  </si>
  <si>
    <t>Lala Mobile &amp; Electronics (VU)</t>
  </si>
  <si>
    <t>Pawan Electronics (VU)</t>
  </si>
  <si>
    <t>Deep Telecom (VU)</t>
  </si>
  <si>
    <t>SGRGVU2492</t>
  </si>
  <si>
    <t>Pihu Electronics (VU)</t>
  </si>
  <si>
    <t>Luxmi Electronics (VU)</t>
  </si>
  <si>
    <t>Chitaipur</t>
  </si>
  <si>
    <t>Azamgarh</t>
  </si>
  <si>
    <t>Bilthara</t>
  </si>
  <si>
    <t>Sadar Bazar</t>
  </si>
  <si>
    <t>Lajpat Nagar</t>
  </si>
  <si>
    <t>Ashok Nagar</t>
  </si>
  <si>
    <t>Awas Vikas</t>
  </si>
  <si>
    <t>Baara-2</t>
  </si>
  <si>
    <t>Office</t>
  </si>
  <si>
    <t>Kaka Deo</t>
  </si>
  <si>
    <t>Kanpur</t>
  </si>
  <si>
    <t>Karrahi</t>
  </si>
  <si>
    <t>Lal Bangla</t>
  </si>
  <si>
    <t>Yashoda Nagar</t>
  </si>
  <si>
    <t>dabauli</t>
  </si>
  <si>
    <t>Sanigawan</t>
  </si>
  <si>
    <t>Sarojini Nagar</t>
  </si>
  <si>
    <t>Sharda Nagar</t>
  </si>
  <si>
    <t>Shyam Nagar</t>
  </si>
  <si>
    <t>Dabouli</t>
  </si>
  <si>
    <t>Meerut</t>
  </si>
  <si>
    <t>Chaubeypur</t>
  </si>
  <si>
    <t>Amit</t>
  </si>
  <si>
    <t xml:space="preserve">KANPUR NAGAR </t>
  </si>
  <si>
    <t>MANGLA VIHAR</t>
  </si>
  <si>
    <t>RAUNAK</t>
  </si>
  <si>
    <t>FARRUKHABAD</t>
  </si>
  <si>
    <t>TIRWA</t>
  </si>
  <si>
    <t>YOGESH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</si>
</sst>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&quot;0.00"/>
    <numFmt numFmtId="166" formatCode="&quot;&quot;0"/>
  </numFmts>
  <fonts count="15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rgb="FFFF000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rgb="FFFFFF00"/>
        </stop>
      </gradient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6" fillId="0" borderId="3" xfId="0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0" fontId="9" fillId="0" borderId="0" xfId="0" applyFont="1"/>
    <xf numFmtId="0" fontId="2" fillId="4" borderId="9" xfId="0" applyFont="1" applyFill="1" applyBorder="1" applyAlignment="1">
      <alignment horizontal="center" vertical="center" wrapText="1"/>
    </xf>
    <xf numFmtId="164" fontId="8" fillId="4" borderId="9" xfId="0" applyNumberFormat="1" applyFont="1" applyFill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horizontal="center" vertical="center"/>
    </xf>
    <xf numFmtId="164" fontId="8" fillId="4" borderId="11" xfId="0" applyNumberFormat="1" applyFont="1" applyFill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49" fontId="12" fillId="0" borderId="16" xfId="0" applyNumberFormat="1" applyFont="1" applyBorder="1" applyAlignment="1">
      <alignment horizontal="left" vertical="top" indent="2"/>
    </xf>
    <xf numFmtId="49" fontId="11" fillId="0" borderId="0" xfId="0" applyNumberFormat="1" applyFont="1" applyAlignment="1">
      <alignment vertical="top"/>
    </xf>
    <xf numFmtId="165" fontId="11" fillId="0" borderId="18" xfId="0" applyNumberFormat="1" applyFont="1" applyBorder="1" applyAlignment="1">
      <alignment horizontal="right" vertical="top"/>
    </xf>
    <xf numFmtId="166" fontId="13" fillId="0" borderId="18" xfId="0" applyNumberFormat="1" applyFont="1" applyBorder="1" applyAlignment="1">
      <alignment horizontal="right" vertical="top"/>
    </xf>
    <xf numFmtId="166" fontId="11" fillId="0" borderId="18" xfId="0" applyNumberFormat="1" applyFont="1" applyBorder="1" applyAlignment="1">
      <alignment horizontal="right" vertical="top"/>
    </xf>
    <xf numFmtId="165" fontId="11" fillId="0" borderId="16" xfId="0" applyNumberFormat="1" applyFont="1" applyBorder="1" applyAlignment="1">
      <alignment horizontal="right" vertical="top"/>
    </xf>
    <xf numFmtId="166" fontId="13" fillId="0" borderId="16" xfId="0" applyNumberFormat="1" applyFont="1" applyBorder="1" applyAlignment="1">
      <alignment horizontal="right" vertical="top"/>
    </xf>
    <xf numFmtId="166" fontId="11" fillId="0" borderId="16" xfId="0" applyNumberFormat="1" applyFont="1" applyBorder="1" applyAlignment="1">
      <alignment horizontal="right" vertical="top"/>
    </xf>
    <xf numFmtId="165" fontId="13" fillId="0" borderId="16" xfId="0" applyNumberFormat="1" applyFont="1" applyBorder="1" applyAlignment="1">
      <alignment horizontal="right" vertical="top"/>
    </xf>
    <xf numFmtId="49" fontId="12" fillId="0" borderId="15" xfId="0" applyNumberFormat="1" applyFont="1" applyBorder="1" applyAlignment="1">
      <alignment horizontal="left" vertical="top" indent="2"/>
    </xf>
    <xf numFmtId="165" fontId="12" fillId="0" borderId="17" xfId="0" applyNumberFormat="1" applyFont="1" applyBorder="1" applyAlignment="1">
      <alignment horizontal="right" vertical="top"/>
    </xf>
    <xf numFmtId="165" fontId="14" fillId="0" borderId="17" xfId="0" applyNumberFormat="1" applyFont="1" applyBorder="1" applyAlignment="1">
      <alignment horizontal="right" vertical="top"/>
    </xf>
    <xf numFmtId="49" fontId="12" fillId="0" borderId="18" xfId="0" applyNumberFormat="1" applyFont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14" fontId="10" fillId="2" borderId="13" xfId="0" applyNumberFormat="1" applyFont="1" applyFill="1" applyBorder="1" applyAlignment="1">
      <alignment horizontal="center" vertical="center"/>
    </xf>
    <xf numFmtId="14" fontId="10" fillId="2" borderId="1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5C44-00EA-45B6-BC1F-98499AFE3A0E}">
  <dimension ref="A1:M120"/>
  <sheetViews>
    <sheetView tabSelected="1" zoomScale="60" zoomScaleNormal="60" workbookViewId="0">
      <selection activeCell="E12" sqref="E12"/>
    </sheetView>
  </sheetViews>
  <sheetFormatPr defaultRowHeight="15" x14ac:dyDescent="0.25"/>
  <cols>
    <col min="1" max="1" width="22.5703125" bestFit="1" customWidth="1"/>
    <col min="2" max="2" width="67.5703125" bestFit="1" customWidth="1"/>
    <col min="3" max="3" width="25.42578125" bestFit="1" customWidth="1"/>
    <col min="4" max="4" width="25" bestFit="1" customWidth="1"/>
    <col min="5" max="5" width="22.5703125" bestFit="1" customWidth="1"/>
    <col min="6" max="6" width="24.85546875" bestFit="1" customWidth="1"/>
    <col min="7" max="7" width="23.7109375" bestFit="1" customWidth="1"/>
    <col min="8" max="12" width="26.140625" bestFit="1" customWidth="1"/>
    <col min="13" max="13" width="23.7109375" style="16" bestFit="1" customWidth="1"/>
  </cols>
  <sheetData>
    <row r="1" spans="1:13" ht="110.25" customHeight="1" thickBot="1" x14ac:dyDescent="0.3">
      <c r="A1" s="34" t="s">
        <v>106</v>
      </c>
      <c r="B1" s="35"/>
      <c r="C1" s="35"/>
      <c r="D1" s="35"/>
      <c r="E1" s="35"/>
      <c r="F1" s="35"/>
      <c r="G1" s="13" t="s">
        <v>107</v>
      </c>
      <c r="H1" s="38">
        <f ca="1">TODAY()</f>
        <v>46255</v>
      </c>
      <c r="I1" s="39"/>
      <c r="J1" s="39"/>
      <c r="K1" s="39"/>
      <c r="L1" s="39"/>
      <c r="M1" s="39"/>
    </row>
    <row r="2" spans="1:13" s="6" customFormat="1" ht="32.25" customHeight="1" thickBot="1" x14ac:dyDescent="0.45">
      <c r="A2" s="36" t="s">
        <v>79</v>
      </c>
      <c r="B2" s="37"/>
      <c r="C2" s="11">
        <f>SUBTOTAL(3,C4:C90)</f>
        <v>87</v>
      </c>
      <c r="D2" s="11">
        <f>SUBTOTAL(3,D4:D90)</f>
        <v>87</v>
      </c>
      <c r="E2" s="11">
        <f>SUBTOTAL(3,E4:E90)</f>
        <v>87</v>
      </c>
      <c r="F2" s="12">
        <f>SUBTOTAL(9,F4:F143)</f>
        <v>9933698.2899999991</v>
      </c>
      <c r="G2" s="12">
        <f>SUBTOTAL(9,G4:G143)</f>
        <v>754264</v>
      </c>
      <c r="H2" s="12">
        <f t="shared" ref="H2:M2" si="0">SUBTOTAL(9,H4:H143)</f>
        <v>728835</v>
      </c>
      <c r="I2" s="12">
        <f t="shared" si="0"/>
        <v>337427.91000000003</v>
      </c>
      <c r="J2" s="12">
        <f t="shared" si="0"/>
        <v>302318</v>
      </c>
      <c r="K2" s="12">
        <f t="shared" si="0"/>
        <v>967950</v>
      </c>
      <c r="L2" s="14">
        <f t="shared" si="0"/>
        <v>1027019</v>
      </c>
      <c r="M2" s="14">
        <f t="shared" si="0"/>
        <v>5764387.3799999999</v>
      </c>
    </row>
    <row r="3" spans="1:13" s="10" customFormat="1" ht="21.75" thickBot="1" x14ac:dyDescent="0.4">
      <c r="A3" s="7" t="s">
        <v>80</v>
      </c>
      <c r="B3" s="8" t="s">
        <v>81</v>
      </c>
      <c r="C3" s="8" t="s">
        <v>152</v>
      </c>
      <c r="D3" s="8" t="s">
        <v>153</v>
      </c>
      <c r="E3" s="8" t="s">
        <v>154</v>
      </c>
      <c r="F3" s="9" t="s">
        <v>82</v>
      </c>
      <c r="G3" s="9" t="s">
        <v>104</v>
      </c>
      <c r="H3" s="9" t="s">
        <v>105</v>
      </c>
      <c r="I3" s="9" t="s">
        <v>267</v>
      </c>
      <c r="J3" s="9" t="s">
        <v>268</v>
      </c>
      <c r="K3" s="9" t="s">
        <v>269</v>
      </c>
      <c r="L3" s="9" t="s">
        <v>270</v>
      </c>
      <c r="M3" s="9" t="s">
        <v>271</v>
      </c>
    </row>
    <row r="4" spans="1:13" ht="24" x14ac:dyDescent="0.4">
      <c r="A4" s="4" t="s">
        <v>87</v>
      </c>
      <c r="B4" s="5" t="s">
        <v>282</v>
      </c>
      <c r="C4" s="5" t="s">
        <v>307</v>
      </c>
      <c r="D4" s="5" t="s">
        <v>308</v>
      </c>
      <c r="E4" s="5" t="s">
        <v>309</v>
      </c>
      <c r="F4" s="2">
        <v>26590</v>
      </c>
      <c r="G4" s="3">
        <v>26590</v>
      </c>
      <c r="H4" s="3">
        <v>0</v>
      </c>
      <c r="I4" s="3">
        <v>0</v>
      </c>
      <c r="J4" s="3">
        <v>0</v>
      </c>
      <c r="K4" s="3">
        <v>0</v>
      </c>
      <c r="L4" s="15">
        <v>0</v>
      </c>
      <c r="M4" s="15">
        <v>0</v>
      </c>
    </row>
    <row r="5" spans="1:13" ht="24" x14ac:dyDescent="0.4">
      <c r="A5" s="4" t="s">
        <v>210</v>
      </c>
      <c r="B5" s="5" t="s">
        <v>283</v>
      </c>
      <c r="C5" s="5" t="s">
        <v>310</v>
      </c>
      <c r="D5" s="5" t="s">
        <v>311</v>
      </c>
      <c r="E5" s="5" t="s">
        <v>312</v>
      </c>
      <c r="F5" s="2">
        <v>49980</v>
      </c>
      <c r="G5" s="3">
        <v>49980</v>
      </c>
      <c r="H5" s="3">
        <v>0</v>
      </c>
      <c r="I5" s="3">
        <v>0</v>
      </c>
      <c r="J5" s="3">
        <v>0</v>
      </c>
      <c r="K5" s="3">
        <v>0</v>
      </c>
      <c r="L5" s="15">
        <v>0</v>
      </c>
      <c r="M5" s="15">
        <v>0</v>
      </c>
    </row>
    <row r="6" spans="1:13" ht="24" x14ac:dyDescent="0.4">
      <c r="A6" s="4" t="s">
        <v>213</v>
      </c>
      <c r="B6" s="5" t="s">
        <v>176</v>
      </c>
      <c r="C6" s="5" t="s">
        <v>114</v>
      </c>
      <c r="D6" s="5" t="s">
        <v>114</v>
      </c>
      <c r="E6" s="5" t="s">
        <v>292</v>
      </c>
      <c r="F6" s="2">
        <v>0</v>
      </c>
      <c r="G6" s="3"/>
      <c r="H6" s="3"/>
      <c r="I6" s="3"/>
      <c r="J6" s="3"/>
      <c r="K6" s="3"/>
      <c r="L6" s="15"/>
      <c r="M6" s="15"/>
    </row>
    <row r="7" spans="1:13" ht="24" x14ac:dyDescent="0.4">
      <c r="A7" s="4" t="s">
        <v>194</v>
      </c>
      <c r="B7" s="5" t="s">
        <v>160</v>
      </c>
      <c r="C7" s="5" t="s">
        <v>109</v>
      </c>
      <c r="D7" s="5" t="s">
        <v>109</v>
      </c>
      <c r="E7" s="5" t="s">
        <v>306</v>
      </c>
      <c r="F7" s="2">
        <v>295093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15">
        <v>295093</v>
      </c>
      <c r="M7" s="15">
        <v>0</v>
      </c>
    </row>
    <row r="8" spans="1:13" ht="24" x14ac:dyDescent="0.4">
      <c r="A8" s="4" t="s">
        <v>178</v>
      </c>
      <c r="B8" s="5" t="s">
        <v>2</v>
      </c>
      <c r="C8" s="5" t="s">
        <v>109</v>
      </c>
      <c r="D8" s="5" t="s">
        <v>109</v>
      </c>
      <c r="E8" s="5" t="s">
        <v>306</v>
      </c>
      <c r="F8" s="2">
        <v>0</v>
      </c>
      <c r="G8" s="3"/>
      <c r="H8" s="3"/>
      <c r="I8" s="3"/>
      <c r="J8" s="3"/>
      <c r="K8" s="3"/>
      <c r="L8" s="15"/>
      <c r="M8" s="15"/>
    </row>
    <row r="9" spans="1:13" ht="24" x14ac:dyDescent="0.4">
      <c r="A9" s="4" t="s">
        <v>253</v>
      </c>
      <c r="B9" s="5" t="s">
        <v>3</v>
      </c>
      <c r="C9" s="5" t="s">
        <v>109</v>
      </c>
      <c r="D9" s="5" t="s">
        <v>109</v>
      </c>
      <c r="E9" s="5" t="s">
        <v>306</v>
      </c>
      <c r="F9" s="2">
        <v>68655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15">
        <v>0</v>
      </c>
      <c r="M9" s="15">
        <v>68655</v>
      </c>
    </row>
    <row r="10" spans="1:13" ht="24" x14ac:dyDescent="0.4">
      <c r="A10" s="4" t="s">
        <v>85</v>
      </c>
      <c r="B10" s="5" t="s">
        <v>0</v>
      </c>
      <c r="C10" s="5" t="s">
        <v>109</v>
      </c>
      <c r="D10" s="5" t="s">
        <v>109</v>
      </c>
      <c r="E10" s="5" t="s">
        <v>306</v>
      </c>
      <c r="F10" s="2">
        <v>51497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15">
        <v>0</v>
      </c>
      <c r="M10" s="15">
        <v>0</v>
      </c>
    </row>
    <row r="11" spans="1:13" ht="24" x14ac:dyDescent="0.4">
      <c r="A11" s="4" t="s">
        <v>180</v>
      </c>
      <c r="B11" s="5" t="s">
        <v>108</v>
      </c>
      <c r="C11" s="5" t="s">
        <v>109</v>
      </c>
      <c r="D11" s="5" t="s">
        <v>109</v>
      </c>
      <c r="E11" s="5" t="s">
        <v>306</v>
      </c>
      <c r="F11" s="2">
        <v>41497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15">
        <v>0</v>
      </c>
      <c r="M11" s="15">
        <v>41497</v>
      </c>
    </row>
    <row r="12" spans="1:13" ht="24" x14ac:dyDescent="0.4">
      <c r="A12" s="4" t="s">
        <v>87</v>
      </c>
      <c r="B12" s="5" t="s">
        <v>279</v>
      </c>
      <c r="C12" s="5" t="s">
        <v>111</v>
      </c>
      <c r="D12" s="5" t="s">
        <v>284</v>
      </c>
      <c r="E12" s="5" t="s">
        <v>306</v>
      </c>
      <c r="F12" s="2">
        <v>53180</v>
      </c>
      <c r="G12" s="3">
        <v>0</v>
      </c>
      <c r="H12" s="3">
        <v>53180</v>
      </c>
      <c r="I12" s="3">
        <v>0</v>
      </c>
      <c r="J12" s="3">
        <v>0</v>
      </c>
      <c r="K12" s="3">
        <v>0</v>
      </c>
      <c r="L12" s="15">
        <v>0</v>
      </c>
      <c r="M12" s="15">
        <v>0</v>
      </c>
    </row>
    <row r="13" spans="1:13" ht="24" x14ac:dyDescent="0.4">
      <c r="A13" s="4" t="s">
        <v>191</v>
      </c>
      <c r="B13" s="5" t="s">
        <v>165</v>
      </c>
      <c r="C13" s="5" t="s">
        <v>111</v>
      </c>
      <c r="D13" s="5" t="s">
        <v>285</v>
      </c>
      <c r="E13" s="5" t="s">
        <v>306</v>
      </c>
      <c r="F13" s="2">
        <v>243046</v>
      </c>
      <c r="G13" s="3">
        <v>181150</v>
      </c>
      <c r="H13" s="3">
        <v>0</v>
      </c>
      <c r="I13" s="3">
        <v>0</v>
      </c>
      <c r="J13" s="3">
        <v>0</v>
      </c>
      <c r="K13" s="3">
        <v>61896</v>
      </c>
      <c r="L13" s="15">
        <v>0</v>
      </c>
      <c r="M13" s="15">
        <v>0</v>
      </c>
    </row>
    <row r="14" spans="1:13" ht="24" x14ac:dyDescent="0.4">
      <c r="A14" s="4" t="s">
        <v>266</v>
      </c>
      <c r="B14" s="5" t="s">
        <v>262</v>
      </c>
      <c r="C14" s="5" t="s">
        <v>111</v>
      </c>
      <c r="D14" s="5" t="s">
        <v>285</v>
      </c>
      <c r="E14" s="5" t="s">
        <v>306</v>
      </c>
      <c r="F14" s="2">
        <v>29980</v>
      </c>
      <c r="G14" s="3">
        <v>0</v>
      </c>
      <c r="H14" s="3">
        <v>0</v>
      </c>
      <c r="I14" s="3">
        <v>29980</v>
      </c>
      <c r="J14" s="3">
        <v>0</v>
      </c>
      <c r="K14" s="3">
        <v>0</v>
      </c>
      <c r="L14" s="15">
        <v>0</v>
      </c>
      <c r="M14" s="15">
        <v>0</v>
      </c>
    </row>
    <row r="15" spans="1:13" ht="24" x14ac:dyDescent="0.4">
      <c r="A15" s="4" t="s">
        <v>101</v>
      </c>
      <c r="B15" s="5" t="s">
        <v>5</v>
      </c>
      <c r="C15" s="5" t="s">
        <v>111</v>
      </c>
      <c r="D15" s="5" t="s">
        <v>113</v>
      </c>
      <c r="E15" s="5" t="s">
        <v>306</v>
      </c>
      <c r="F15" s="2">
        <v>175406</v>
      </c>
      <c r="G15" s="3">
        <v>0</v>
      </c>
      <c r="H15" s="3">
        <v>0</v>
      </c>
      <c r="I15" s="3">
        <v>0</v>
      </c>
      <c r="J15" s="3">
        <v>0</v>
      </c>
      <c r="K15" s="3">
        <v>145771</v>
      </c>
      <c r="L15" s="15">
        <v>0</v>
      </c>
      <c r="M15" s="15">
        <v>29635</v>
      </c>
    </row>
    <row r="16" spans="1:13" ht="24" x14ac:dyDescent="0.4">
      <c r="A16" s="4" t="s">
        <v>208</v>
      </c>
      <c r="B16" s="5" t="s">
        <v>10</v>
      </c>
      <c r="C16" s="5" t="s">
        <v>111</v>
      </c>
      <c r="D16" s="5" t="s">
        <v>113</v>
      </c>
      <c r="E16" s="5" t="s">
        <v>306</v>
      </c>
      <c r="F16" s="2">
        <v>79591</v>
      </c>
      <c r="G16" s="3">
        <v>0</v>
      </c>
      <c r="H16" s="3">
        <v>0</v>
      </c>
      <c r="I16" s="3">
        <v>0</v>
      </c>
      <c r="J16" s="3">
        <v>0</v>
      </c>
      <c r="K16" s="3">
        <v>79591</v>
      </c>
      <c r="L16" s="15">
        <v>0</v>
      </c>
      <c r="M16" s="15">
        <v>0</v>
      </c>
    </row>
    <row r="17" spans="1:13" ht="24" x14ac:dyDescent="0.4">
      <c r="A17" s="4" t="s">
        <v>97</v>
      </c>
      <c r="B17" s="5" t="s">
        <v>7</v>
      </c>
      <c r="C17" s="5" t="s">
        <v>111</v>
      </c>
      <c r="D17" s="5" t="s">
        <v>113</v>
      </c>
      <c r="E17" s="5" t="s">
        <v>306</v>
      </c>
      <c r="F17" s="2">
        <v>41538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15">
        <v>0</v>
      </c>
      <c r="M17" s="15">
        <v>41538</v>
      </c>
    </row>
    <row r="18" spans="1:13" ht="24" x14ac:dyDescent="0.4">
      <c r="A18" s="4" t="s">
        <v>241</v>
      </c>
      <c r="B18" s="5" t="s">
        <v>12</v>
      </c>
      <c r="C18" s="5" t="s">
        <v>111</v>
      </c>
      <c r="D18" s="5" t="s">
        <v>113</v>
      </c>
      <c r="E18" s="5" t="s">
        <v>306</v>
      </c>
      <c r="F18" s="2">
        <v>6158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15">
        <v>0</v>
      </c>
      <c r="M18" s="15">
        <v>6158</v>
      </c>
    </row>
    <row r="19" spans="1:13" ht="24" x14ac:dyDescent="0.4">
      <c r="A19" s="4" t="s">
        <v>249</v>
      </c>
      <c r="B19" s="5" t="s">
        <v>261</v>
      </c>
      <c r="C19" s="5" t="s">
        <v>111</v>
      </c>
      <c r="D19" s="5" t="s">
        <v>286</v>
      </c>
      <c r="E19" s="5" t="s">
        <v>306</v>
      </c>
      <c r="F19" s="2">
        <v>34500</v>
      </c>
      <c r="G19" s="3">
        <v>0</v>
      </c>
      <c r="H19" s="3">
        <v>0</v>
      </c>
      <c r="I19" s="3">
        <v>34500</v>
      </c>
      <c r="J19" s="3">
        <v>0</v>
      </c>
      <c r="K19" s="3">
        <v>0</v>
      </c>
      <c r="L19" s="15">
        <v>0</v>
      </c>
      <c r="M19" s="15">
        <v>0</v>
      </c>
    </row>
    <row r="20" spans="1:13" ht="24" x14ac:dyDescent="0.4">
      <c r="A20" s="4" t="s">
        <v>189</v>
      </c>
      <c r="B20" s="5" t="s">
        <v>173</v>
      </c>
      <c r="C20" s="5" t="s">
        <v>111</v>
      </c>
      <c r="D20" s="5" t="s">
        <v>255</v>
      </c>
      <c r="E20" s="5" t="s">
        <v>306</v>
      </c>
      <c r="F20" s="2">
        <v>84580</v>
      </c>
      <c r="G20" s="3">
        <v>0</v>
      </c>
      <c r="H20" s="3">
        <v>0</v>
      </c>
      <c r="I20" s="3">
        <v>0</v>
      </c>
      <c r="J20" s="3">
        <v>0</v>
      </c>
      <c r="K20" s="3">
        <v>84580</v>
      </c>
      <c r="L20" s="15">
        <v>0</v>
      </c>
      <c r="M20" s="15">
        <v>0</v>
      </c>
    </row>
    <row r="21" spans="1:13" ht="24" x14ac:dyDescent="0.4">
      <c r="A21" s="4" t="s">
        <v>92</v>
      </c>
      <c r="B21" s="5" t="s">
        <v>8</v>
      </c>
      <c r="C21" s="5" t="s">
        <v>111</v>
      </c>
      <c r="D21" s="5" t="s">
        <v>112</v>
      </c>
      <c r="E21" s="5" t="s">
        <v>306</v>
      </c>
      <c r="F21" s="2">
        <v>86297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15">
        <v>0</v>
      </c>
      <c r="M21" s="15">
        <v>86297</v>
      </c>
    </row>
    <row r="22" spans="1:13" ht="24" x14ac:dyDescent="0.4">
      <c r="A22" s="4" t="s">
        <v>182</v>
      </c>
      <c r="B22" s="5" t="s">
        <v>169</v>
      </c>
      <c r="C22" s="5" t="s">
        <v>111</v>
      </c>
      <c r="D22" s="5" t="s">
        <v>112</v>
      </c>
      <c r="E22" s="5" t="s">
        <v>306</v>
      </c>
      <c r="F22" s="2">
        <v>84580</v>
      </c>
      <c r="G22" s="3">
        <v>0</v>
      </c>
      <c r="H22" s="3">
        <v>0</v>
      </c>
      <c r="I22" s="3">
        <v>0</v>
      </c>
      <c r="J22" s="3">
        <v>0</v>
      </c>
      <c r="K22" s="3">
        <v>84580</v>
      </c>
      <c r="L22" s="15">
        <v>0</v>
      </c>
      <c r="M22" s="15">
        <v>0</v>
      </c>
    </row>
    <row r="23" spans="1:13" ht="24" x14ac:dyDescent="0.4">
      <c r="A23" s="4" t="s">
        <v>184</v>
      </c>
      <c r="B23" s="5" t="s">
        <v>9</v>
      </c>
      <c r="C23" s="5" t="s">
        <v>111</v>
      </c>
      <c r="D23" s="5" t="s">
        <v>112</v>
      </c>
      <c r="E23" s="5" t="s">
        <v>306</v>
      </c>
      <c r="F23" s="2">
        <v>63996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15">
        <v>0</v>
      </c>
      <c r="M23" s="15">
        <v>63996</v>
      </c>
    </row>
    <row r="24" spans="1:13" ht="24" x14ac:dyDescent="0.4">
      <c r="A24" s="4" t="s">
        <v>259</v>
      </c>
      <c r="B24" s="5" t="s">
        <v>258</v>
      </c>
      <c r="C24" s="5" t="s">
        <v>111</v>
      </c>
      <c r="D24" s="5" t="s">
        <v>111</v>
      </c>
      <c r="E24" s="5" t="s">
        <v>306</v>
      </c>
      <c r="F24" s="2">
        <v>0</v>
      </c>
      <c r="G24" s="3"/>
      <c r="H24" s="3"/>
      <c r="I24" s="3"/>
      <c r="J24" s="3"/>
      <c r="K24" s="3"/>
      <c r="L24" s="15"/>
      <c r="M24" s="15"/>
    </row>
    <row r="25" spans="1:13" ht="24" x14ac:dyDescent="0.4">
      <c r="A25" s="4" t="s">
        <v>94</v>
      </c>
      <c r="B25" s="5" t="s">
        <v>174</v>
      </c>
      <c r="C25" s="5" t="s">
        <v>111</v>
      </c>
      <c r="D25" s="5" t="s">
        <v>111</v>
      </c>
      <c r="E25" s="5" t="s">
        <v>306</v>
      </c>
      <c r="F25" s="2">
        <v>0</v>
      </c>
      <c r="G25" s="3"/>
      <c r="H25" s="3"/>
      <c r="I25" s="3"/>
      <c r="J25" s="3"/>
      <c r="K25" s="3"/>
      <c r="L25" s="15"/>
      <c r="M25" s="15"/>
    </row>
    <row r="26" spans="1:13" ht="24" x14ac:dyDescent="0.4">
      <c r="A26" s="4" t="s">
        <v>186</v>
      </c>
      <c r="B26" s="5" t="s">
        <v>16</v>
      </c>
      <c r="C26" s="5" t="s">
        <v>111</v>
      </c>
      <c r="D26" s="5" t="s">
        <v>111</v>
      </c>
      <c r="E26" s="5" t="s">
        <v>306</v>
      </c>
      <c r="F26" s="2">
        <v>43000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15">
        <v>0</v>
      </c>
      <c r="M26" s="15">
        <v>43000</v>
      </c>
    </row>
    <row r="27" spans="1:13" ht="24" x14ac:dyDescent="0.4">
      <c r="A27" s="4" t="s">
        <v>86</v>
      </c>
      <c r="B27" s="5" t="s">
        <v>6</v>
      </c>
      <c r="C27" s="5" t="s">
        <v>111</v>
      </c>
      <c r="D27" s="5" t="s">
        <v>111</v>
      </c>
      <c r="E27" s="5" t="s">
        <v>306</v>
      </c>
      <c r="F27" s="2">
        <v>244135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15">
        <v>0</v>
      </c>
      <c r="M27" s="15">
        <v>244135</v>
      </c>
    </row>
    <row r="28" spans="1:13" ht="24" x14ac:dyDescent="0.4">
      <c r="A28" s="4" t="s">
        <v>95</v>
      </c>
      <c r="B28" s="5" t="s">
        <v>4</v>
      </c>
      <c r="C28" s="5" t="s">
        <v>111</v>
      </c>
      <c r="D28" s="5" t="s">
        <v>111</v>
      </c>
      <c r="E28" s="5" t="s">
        <v>306</v>
      </c>
      <c r="F28" s="2">
        <v>73295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15">
        <v>0</v>
      </c>
      <c r="M28" s="15">
        <v>73295</v>
      </c>
    </row>
    <row r="29" spans="1:13" ht="24" x14ac:dyDescent="0.4">
      <c r="A29" s="4" t="s">
        <v>245</v>
      </c>
      <c r="B29" s="5" t="s">
        <v>155</v>
      </c>
      <c r="C29" s="5" t="s">
        <v>111</v>
      </c>
      <c r="D29" s="5" t="s">
        <v>111</v>
      </c>
      <c r="E29" s="5" t="s">
        <v>306</v>
      </c>
      <c r="F29" s="2">
        <v>79600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15">
        <v>79600</v>
      </c>
      <c r="M29" s="15">
        <v>0</v>
      </c>
    </row>
    <row r="30" spans="1:13" ht="24" x14ac:dyDescent="0.4">
      <c r="A30" s="4" t="s">
        <v>205</v>
      </c>
      <c r="B30" s="5" t="s">
        <v>172</v>
      </c>
      <c r="C30" s="5" t="s">
        <v>111</v>
      </c>
      <c r="D30" s="5" t="s">
        <v>111</v>
      </c>
      <c r="E30" s="5" t="s">
        <v>306</v>
      </c>
      <c r="F30" s="2">
        <v>77580</v>
      </c>
      <c r="G30" s="3">
        <v>0</v>
      </c>
      <c r="H30" s="3">
        <v>0</v>
      </c>
      <c r="I30" s="3">
        <v>0</v>
      </c>
      <c r="J30" s="3">
        <v>0</v>
      </c>
      <c r="K30" s="3">
        <v>77580</v>
      </c>
      <c r="L30" s="15">
        <v>0</v>
      </c>
      <c r="M30" s="15">
        <v>0</v>
      </c>
    </row>
    <row r="31" spans="1:13" ht="24" x14ac:dyDescent="0.4">
      <c r="A31" s="4" t="s">
        <v>217</v>
      </c>
      <c r="B31" s="5" t="s">
        <v>11</v>
      </c>
      <c r="C31" s="5" t="s">
        <v>111</v>
      </c>
      <c r="D31" s="5" t="s">
        <v>111</v>
      </c>
      <c r="E31" s="5" t="s">
        <v>306</v>
      </c>
      <c r="F31" s="2">
        <v>69940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15">
        <v>0</v>
      </c>
      <c r="M31" s="15">
        <v>69940</v>
      </c>
    </row>
    <row r="32" spans="1:13" ht="24" x14ac:dyDescent="0.4">
      <c r="A32" s="4" t="s">
        <v>250</v>
      </c>
      <c r="B32" s="5" t="s">
        <v>14</v>
      </c>
      <c r="C32" s="5" t="s">
        <v>111</v>
      </c>
      <c r="D32" s="5" t="s">
        <v>111</v>
      </c>
      <c r="E32" s="5" t="s">
        <v>306</v>
      </c>
      <c r="F32" s="2">
        <v>61277</v>
      </c>
      <c r="G32" s="3">
        <v>0</v>
      </c>
      <c r="H32" s="3">
        <v>0</v>
      </c>
      <c r="I32" s="3">
        <v>0</v>
      </c>
      <c r="J32" s="3">
        <v>49980</v>
      </c>
      <c r="K32" s="3">
        <v>0</v>
      </c>
      <c r="L32" s="15">
        <v>0</v>
      </c>
      <c r="M32" s="15">
        <v>11297</v>
      </c>
    </row>
    <row r="33" spans="1:13" ht="24" x14ac:dyDescent="0.4">
      <c r="A33" s="4" t="s">
        <v>177</v>
      </c>
      <c r="B33" s="5" t="s">
        <v>263</v>
      </c>
      <c r="C33" s="5" t="s">
        <v>111</v>
      </c>
      <c r="D33" s="5" t="s">
        <v>111</v>
      </c>
      <c r="E33" s="5" t="s">
        <v>306</v>
      </c>
      <c r="F33" s="2">
        <v>49980</v>
      </c>
      <c r="G33" s="3">
        <v>0</v>
      </c>
      <c r="H33" s="3">
        <v>0</v>
      </c>
      <c r="I33" s="3">
        <v>49980</v>
      </c>
      <c r="J33" s="3">
        <v>0</v>
      </c>
      <c r="K33" s="3">
        <v>0</v>
      </c>
      <c r="L33" s="15">
        <v>0</v>
      </c>
      <c r="M33" s="15">
        <v>0</v>
      </c>
    </row>
    <row r="34" spans="1:13" ht="24" x14ac:dyDescent="0.4">
      <c r="A34" s="4" t="s">
        <v>222</v>
      </c>
      <c r="B34" s="5" t="s">
        <v>162</v>
      </c>
      <c r="C34" s="5" t="s">
        <v>111</v>
      </c>
      <c r="D34" s="5" t="s">
        <v>111</v>
      </c>
      <c r="E34" s="5" t="s">
        <v>306</v>
      </c>
      <c r="F34" s="2">
        <v>46700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15">
        <v>0</v>
      </c>
      <c r="M34" s="15">
        <v>46700</v>
      </c>
    </row>
    <row r="35" spans="1:13" ht="24" x14ac:dyDescent="0.4">
      <c r="A35" s="4" t="s">
        <v>246</v>
      </c>
      <c r="B35" s="5" t="s">
        <v>13</v>
      </c>
      <c r="C35" s="5" t="s">
        <v>111</v>
      </c>
      <c r="D35" s="5" t="s">
        <v>111</v>
      </c>
      <c r="E35" s="5" t="s">
        <v>306</v>
      </c>
      <c r="F35" s="2">
        <v>31998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15">
        <v>0</v>
      </c>
      <c r="M35" s="15">
        <v>31998</v>
      </c>
    </row>
    <row r="36" spans="1:13" ht="24" x14ac:dyDescent="0.4">
      <c r="A36" s="4" t="s">
        <v>224</v>
      </c>
      <c r="B36" s="5" t="s">
        <v>22</v>
      </c>
      <c r="C36" s="5" t="s">
        <v>111</v>
      </c>
      <c r="D36" s="5" t="s">
        <v>111</v>
      </c>
      <c r="E36" s="5" t="s">
        <v>306</v>
      </c>
      <c r="F36" s="2">
        <v>7180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15">
        <v>0</v>
      </c>
      <c r="M36" s="15">
        <v>7180</v>
      </c>
    </row>
    <row r="37" spans="1:13" ht="24" x14ac:dyDescent="0.4">
      <c r="A37" s="4" t="s">
        <v>103</v>
      </c>
      <c r="B37" s="5" t="s">
        <v>15</v>
      </c>
      <c r="C37" s="5" t="s">
        <v>119</v>
      </c>
      <c r="D37" s="5" t="s">
        <v>119</v>
      </c>
      <c r="E37" s="5" t="s">
        <v>110</v>
      </c>
      <c r="F37" s="2">
        <v>1649059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15">
        <v>0</v>
      </c>
      <c r="M37" s="15">
        <v>1649059</v>
      </c>
    </row>
    <row r="38" spans="1:13" ht="24" x14ac:dyDescent="0.4">
      <c r="A38" s="4" t="s">
        <v>202</v>
      </c>
      <c r="B38" s="5" t="s">
        <v>18</v>
      </c>
      <c r="C38" s="5" t="s">
        <v>119</v>
      </c>
      <c r="D38" s="5" t="s">
        <v>119</v>
      </c>
      <c r="E38" s="5" t="s">
        <v>110</v>
      </c>
      <c r="F38" s="2">
        <v>37988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15">
        <v>0</v>
      </c>
      <c r="M38" s="15">
        <v>37988</v>
      </c>
    </row>
    <row r="39" spans="1:13" ht="24" x14ac:dyDescent="0.4">
      <c r="A39" s="4" t="s">
        <v>236</v>
      </c>
      <c r="B39" s="5" t="s">
        <v>36</v>
      </c>
      <c r="C39" s="5" t="s">
        <v>119</v>
      </c>
      <c r="D39" s="5" t="s">
        <v>119</v>
      </c>
      <c r="E39" s="5" t="s">
        <v>110</v>
      </c>
      <c r="F39" s="2">
        <v>0</v>
      </c>
      <c r="G39" s="3"/>
      <c r="H39" s="3"/>
      <c r="I39" s="3"/>
      <c r="J39" s="3"/>
      <c r="K39" s="3"/>
      <c r="L39" s="15"/>
      <c r="M39" s="15"/>
    </row>
    <row r="40" spans="1:13" ht="24" x14ac:dyDescent="0.4">
      <c r="A40" s="4" t="s">
        <v>233</v>
      </c>
      <c r="B40" s="5" t="s">
        <v>35</v>
      </c>
      <c r="C40" s="5" t="s">
        <v>119</v>
      </c>
      <c r="D40" s="5" t="s">
        <v>119</v>
      </c>
      <c r="E40" s="5" t="s">
        <v>110</v>
      </c>
      <c r="F40" s="2">
        <v>20798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15">
        <v>0</v>
      </c>
      <c r="M40" s="15">
        <v>20798</v>
      </c>
    </row>
    <row r="41" spans="1:13" ht="24" x14ac:dyDescent="0.4">
      <c r="A41" s="4" t="s">
        <v>181</v>
      </c>
      <c r="B41" s="5" t="s">
        <v>33</v>
      </c>
      <c r="C41" s="5" t="s">
        <v>119</v>
      </c>
      <c r="D41" s="5" t="s">
        <v>119</v>
      </c>
      <c r="E41" s="5" t="s">
        <v>110</v>
      </c>
      <c r="F41" s="2">
        <v>4381</v>
      </c>
      <c r="G41" s="3">
        <v>0</v>
      </c>
      <c r="H41" s="3">
        <v>4381</v>
      </c>
      <c r="I41" s="3">
        <v>0</v>
      </c>
      <c r="J41" s="3">
        <v>0</v>
      </c>
      <c r="K41" s="3">
        <v>0</v>
      </c>
      <c r="L41" s="15">
        <v>0</v>
      </c>
      <c r="M41" s="15">
        <v>0</v>
      </c>
    </row>
    <row r="42" spans="1:13" ht="24" x14ac:dyDescent="0.4">
      <c r="A42" s="4" t="s">
        <v>214</v>
      </c>
      <c r="B42" s="5" t="s">
        <v>34</v>
      </c>
      <c r="C42" s="5" t="s">
        <v>119</v>
      </c>
      <c r="D42" s="5" t="s">
        <v>134</v>
      </c>
      <c r="E42" s="5" t="s">
        <v>110</v>
      </c>
      <c r="F42" s="2">
        <v>78595</v>
      </c>
      <c r="G42" s="3">
        <v>0</v>
      </c>
      <c r="H42" s="3">
        <v>0</v>
      </c>
      <c r="I42" s="3">
        <v>0</v>
      </c>
      <c r="J42" s="3">
        <v>15000</v>
      </c>
      <c r="K42" s="3">
        <v>0</v>
      </c>
      <c r="L42" s="15">
        <v>0</v>
      </c>
      <c r="M42" s="15">
        <v>63595</v>
      </c>
    </row>
    <row r="43" spans="1:13" ht="24" x14ac:dyDescent="0.4">
      <c r="A43" s="4" t="s">
        <v>99</v>
      </c>
      <c r="B43" s="5" t="s">
        <v>32</v>
      </c>
      <c r="C43" s="5" t="s">
        <v>119</v>
      </c>
      <c r="D43" s="5" t="s">
        <v>119</v>
      </c>
      <c r="E43" s="5" t="s">
        <v>110</v>
      </c>
      <c r="F43" s="2">
        <v>52395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15">
        <v>0</v>
      </c>
      <c r="M43" s="15">
        <v>52395</v>
      </c>
    </row>
    <row r="44" spans="1:13" ht="24" x14ac:dyDescent="0.4">
      <c r="A44" s="4" t="s">
        <v>247</v>
      </c>
      <c r="B44" s="5" t="s">
        <v>163</v>
      </c>
      <c r="C44" s="5" t="s">
        <v>257</v>
      </c>
      <c r="D44" s="5" t="s">
        <v>257</v>
      </c>
      <c r="E44" s="5" t="s">
        <v>110</v>
      </c>
      <c r="F44" s="2">
        <v>576189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15">
        <v>576189</v>
      </c>
      <c r="M44" s="15">
        <v>0</v>
      </c>
    </row>
    <row r="45" spans="1:13" ht="24" x14ac:dyDescent="0.4">
      <c r="A45" s="4" t="s">
        <v>83</v>
      </c>
      <c r="B45" s="5" t="s">
        <v>158</v>
      </c>
      <c r="C45" s="5" t="s">
        <v>114</v>
      </c>
      <c r="D45" s="5" t="s">
        <v>294</v>
      </c>
      <c r="E45" s="5" t="s">
        <v>110</v>
      </c>
      <c r="F45" s="2">
        <v>7999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15">
        <v>7999</v>
      </c>
      <c r="M45" s="15">
        <v>0</v>
      </c>
    </row>
    <row r="46" spans="1:13" ht="24" x14ac:dyDescent="0.4">
      <c r="A46" s="4" t="s">
        <v>220</v>
      </c>
      <c r="B46" s="5" t="s">
        <v>21</v>
      </c>
      <c r="C46" s="5" t="s">
        <v>120</v>
      </c>
      <c r="D46" s="5" t="s">
        <v>121</v>
      </c>
      <c r="E46" s="5" t="s">
        <v>110</v>
      </c>
      <c r="F46" s="2">
        <v>277598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15">
        <v>0</v>
      </c>
      <c r="M46" s="15">
        <v>277598</v>
      </c>
    </row>
    <row r="47" spans="1:13" ht="24" x14ac:dyDescent="0.4">
      <c r="A47" s="4" t="s">
        <v>232</v>
      </c>
      <c r="B47" s="5" t="s">
        <v>23</v>
      </c>
      <c r="C47" s="5" t="s">
        <v>120</v>
      </c>
      <c r="D47" s="5" t="s">
        <v>142</v>
      </c>
      <c r="E47" s="5" t="s">
        <v>110</v>
      </c>
      <c r="F47" s="2">
        <v>0</v>
      </c>
      <c r="G47" s="3"/>
      <c r="H47" s="3"/>
      <c r="I47" s="3"/>
      <c r="J47" s="3"/>
      <c r="K47" s="3"/>
      <c r="L47" s="15"/>
      <c r="M47" s="15"/>
    </row>
    <row r="48" spans="1:13" ht="24" x14ac:dyDescent="0.4">
      <c r="A48" s="4" t="s">
        <v>195</v>
      </c>
      <c r="B48" s="5" t="s">
        <v>17</v>
      </c>
      <c r="C48" s="5" t="s">
        <v>120</v>
      </c>
      <c r="D48" s="5" t="s">
        <v>287</v>
      </c>
      <c r="E48" s="5" t="s">
        <v>110</v>
      </c>
      <c r="F48" s="2">
        <v>47156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15">
        <v>0</v>
      </c>
      <c r="M48" s="15">
        <v>47156</v>
      </c>
    </row>
    <row r="49" spans="1:13" ht="24" x14ac:dyDescent="0.4">
      <c r="A49" s="4" t="s">
        <v>239</v>
      </c>
      <c r="B49" s="5" t="s">
        <v>30</v>
      </c>
      <c r="C49" s="5" t="s">
        <v>122</v>
      </c>
      <c r="D49" s="5" t="s">
        <v>127</v>
      </c>
      <c r="E49" s="5" t="s">
        <v>110</v>
      </c>
      <c r="F49" s="2">
        <v>0</v>
      </c>
      <c r="G49" s="3"/>
      <c r="H49" s="3"/>
      <c r="I49" s="3"/>
      <c r="J49" s="3"/>
      <c r="K49" s="3"/>
      <c r="L49" s="15"/>
      <c r="M49" s="15"/>
    </row>
    <row r="50" spans="1:13" ht="24" x14ac:dyDescent="0.4">
      <c r="A50" s="4" t="s">
        <v>231</v>
      </c>
      <c r="B50" s="5" t="s">
        <v>29</v>
      </c>
      <c r="C50" s="5" t="s">
        <v>122</v>
      </c>
      <c r="D50" s="5" t="s">
        <v>127</v>
      </c>
      <c r="E50" s="5" t="s">
        <v>110</v>
      </c>
      <c r="F50" s="2">
        <v>182250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15">
        <v>0</v>
      </c>
      <c r="M50" s="15">
        <v>182250</v>
      </c>
    </row>
    <row r="51" spans="1:13" ht="24" x14ac:dyDescent="0.4">
      <c r="A51" s="4" t="s">
        <v>193</v>
      </c>
      <c r="B51" s="5" t="s">
        <v>28</v>
      </c>
      <c r="C51" s="5" t="s">
        <v>122</v>
      </c>
      <c r="D51" s="5" t="s">
        <v>123</v>
      </c>
      <c r="E51" s="5" t="s">
        <v>110</v>
      </c>
      <c r="F51" s="2">
        <v>110115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15">
        <v>0</v>
      </c>
      <c r="M51" s="15">
        <v>110115</v>
      </c>
    </row>
    <row r="52" spans="1:13" ht="24" x14ac:dyDescent="0.4">
      <c r="A52" s="4" t="s">
        <v>84</v>
      </c>
      <c r="B52" s="5" t="s">
        <v>25</v>
      </c>
      <c r="C52" s="5" t="s">
        <v>122</v>
      </c>
      <c r="D52" s="5" t="s">
        <v>132</v>
      </c>
      <c r="E52" s="5" t="s">
        <v>110</v>
      </c>
      <c r="F52" s="2">
        <v>81717</v>
      </c>
      <c r="G52" s="3">
        <v>81717</v>
      </c>
      <c r="H52" s="3">
        <v>0</v>
      </c>
      <c r="I52" s="3">
        <v>0</v>
      </c>
      <c r="J52" s="3">
        <v>0</v>
      </c>
      <c r="K52" s="3">
        <v>0</v>
      </c>
      <c r="L52" s="15">
        <v>0</v>
      </c>
      <c r="M52" s="15">
        <v>0</v>
      </c>
    </row>
    <row r="53" spans="1:13" ht="24" x14ac:dyDescent="0.4">
      <c r="A53" s="4" t="s">
        <v>251</v>
      </c>
      <c r="B53" s="5" t="s">
        <v>31</v>
      </c>
      <c r="C53" s="5" t="s">
        <v>122</v>
      </c>
      <c r="D53" s="5" t="s">
        <v>132</v>
      </c>
      <c r="E53" s="5" t="s">
        <v>110</v>
      </c>
      <c r="F53" s="2">
        <v>0</v>
      </c>
      <c r="G53" s="3"/>
      <c r="H53" s="3"/>
      <c r="I53" s="3"/>
      <c r="J53" s="3"/>
      <c r="K53" s="3"/>
      <c r="L53" s="15"/>
      <c r="M53" s="15"/>
    </row>
    <row r="54" spans="1:13" ht="24" x14ac:dyDescent="0.4">
      <c r="A54" s="4" t="s">
        <v>96</v>
      </c>
      <c r="B54" s="5" t="s">
        <v>26</v>
      </c>
      <c r="C54" s="5" t="s">
        <v>122</v>
      </c>
      <c r="D54" s="5" t="s">
        <v>132</v>
      </c>
      <c r="E54" s="5" t="s">
        <v>110</v>
      </c>
      <c r="F54" s="2">
        <v>22690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15">
        <v>0</v>
      </c>
      <c r="M54" s="15">
        <v>22690</v>
      </c>
    </row>
    <row r="55" spans="1:13" ht="24" x14ac:dyDescent="0.4">
      <c r="A55" s="4" t="s">
        <v>229</v>
      </c>
      <c r="B55" s="5" t="s">
        <v>66</v>
      </c>
      <c r="C55" s="5" t="s">
        <v>130</v>
      </c>
      <c r="D55" s="5" t="s">
        <v>131</v>
      </c>
      <c r="E55" s="5" t="s">
        <v>110</v>
      </c>
      <c r="F55" s="2">
        <v>26999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15">
        <v>0</v>
      </c>
      <c r="M55" s="15">
        <v>26999</v>
      </c>
    </row>
    <row r="56" spans="1:13" ht="24" x14ac:dyDescent="0.4">
      <c r="A56" s="4" t="s">
        <v>207</v>
      </c>
      <c r="B56" s="5" t="s">
        <v>19</v>
      </c>
      <c r="C56" s="5" t="s">
        <v>128</v>
      </c>
      <c r="D56" s="5" t="s">
        <v>145</v>
      </c>
      <c r="E56" s="5" t="s">
        <v>110</v>
      </c>
      <c r="F56" s="2">
        <v>9630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15">
        <v>0</v>
      </c>
      <c r="M56" s="15">
        <v>9630</v>
      </c>
    </row>
    <row r="57" spans="1:13" ht="24" x14ac:dyDescent="0.4">
      <c r="A57" s="4" t="s">
        <v>210</v>
      </c>
      <c r="B57" s="5" t="s">
        <v>20</v>
      </c>
      <c r="C57" s="5" t="s">
        <v>128</v>
      </c>
      <c r="D57" s="5" t="s">
        <v>304</v>
      </c>
      <c r="E57" s="5" t="s">
        <v>110</v>
      </c>
      <c r="F57" s="2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15">
        <v>0</v>
      </c>
      <c r="M57" s="15">
        <v>0</v>
      </c>
    </row>
    <row r="58" spans="1:13" ht="24" x14ac:dyDescent="0.4">
      <c r="A58" s="4" t="s">
        <v>252</v>
      </c>
      <c r="B58" s="5" t="s">
        <v>78</v>
      </c>
      <c r="C58" s="5" t="s">
        <v>114</v>
      </c>
      <c r="D58" s="5" t="s">
        <v>116</v>
      </c>
      <c r="E58" s="5" t="s">
        <v>292</v>
      </c>
      <c r="F58" s="2">
        <v>0</v>
      </c>
      <c r="G58" s="3"/>
      <c r="H58" s="3"/>
      <c r="I58" s="3"/>
      <c r="J58" s="3"/>
      <c r="K58" s="3"/>
      <c r="L58" s="15"/>
      <c r="M58" s="15"/>
    </row>
    <row r="59" spans="1:13" ht="24" x14ac:dyDescent="0.4">
      <c r="A59" s="4" t="s">
        <v>212</v>
      </c>
      <c r="B59" s="5" t="s">
        <v>76</v>
      </c>
      <c r="C59" s="5" t="s">
        <v>114</v>
      </c>
      <c r="D59" s="5" t="s">
        <v>297</v>
      </c>
      <c r="E59" s="5" t="s">
        <v>292</v>
      </c>
      <c r="F59" s="2">
        <v>0</v>
      </c>
      <c r="G59" s="3"/>
      <c r="H59" s="3"/>
      <c r="I59" s="3"/>
      <c r="J59" s="3"/>
      <c r="K59" s="3"/>
      <c r="L59" s="15"/>
      <c r="M59" s="15"/>
    </row>
    <row r="60" spans="1:13" ht="24" x14ac:dyDescent="0.4">
      <c r="A60" s="4" t="s">
        <v>230</v>
      </c>
      <c r="B60" s="5" t="s">
        <v>77</v>
      </c>
      <c r="C60" s="5" t="s">
        <v>114</v>
      </c>
      <c r="D60" s="5" t="s">
        <v>297</v>
      </c>
      <c r="E60" s="5" t="s">
        <v>292</v>
      </c>
      <c r="F60" s="2">
        <v>51111</v>
      </c>
      <c r="G60" s="3">
        <v>3707</v>
      </c>
      <c r="H60" s="3">
        <v>0</v>
      </c>
      <c r="I60" s="3">
        <v>15034</v>
      </c>
      <c r="J60" s="3">
        <v>0</v>
      </c>
      <c r="K60" s="3">
        <v>0</v>
      </c>
      <c r="L60" s="15">
        <v>0</v>
      </c>
      <c r="M60" s="15">
        <v>32370</v>
      </c>
    </row>
    <row r="61" spans="1:13" ht="24" x14ac:dyDescent="0.4">
      <c r="A61" s="4" t="s">
        <v>235</v>
      </c>
      <c r="B61" s="5" t="s">
        <v>278</v>
      </c>
      <c r="C61" s="5" t="s">
        <v>114</v>
      </c>
      <c r="D61" s="5" t="s">
        <v>291</v>
      </c>
      <c r="E61" s="5" t="s">
        <v>260</v>
      </c>
      <c r="F61" s="2">
        <v>26590</v>
      </c>
      <c r="G61" s="3">
        <v>0</v>
      </c>
      <c r="H61" s="3">
        <v>26590</v>
      </c>
      <c r="I61" s="3">
        <v>0</v>
      </c>
      <c r="J61" s="3">
        <v>0</v>
      </c>
      <c r="K61" s="3">
        <v>0</v>
      </c>
      <c r="L61" s="15">
        <v>0</v>
      </c>
      <c r="M61" s="15">
        <v>0</v>
      </c>
    </row>
    <row r="62" spans="1:13" ht="24" x14ac:dyDescent="0.4">
      <c r="A62" s="4" t="s">
        <v>227</v>
      </c>
      <c r="B62" s="5" t="s">
        <v>65</v>
      </c>
      <c r="C62" s="5" t="s">
        <v>114</v>
      </c>
      <c r="D62" s="5" t="s">
        <v>291</v>
      </c>
      <c r="E62" s="5" t="s">
        <v>260</v>
      </c>
      <c r="F62" s="2">
        <v>25770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15">
        <v>0</v>
      </c>
      <c r="M62" s="15">
        <v>25770</v>
      </c>
    </row>
    <row r="63" spans="1:13" ht="24" x14ac:dyDescent="0.4">
      <c r="A63" s="4" t="s">
        <v>156</v>
      </c>
      <c r="B63" s="5" t="s">
        <v>44</v>
      </c>
      <c r="C63" s="5" t="s">
        <v>114</v>
      </c>
      <c r="D63" s="5" t="s">
        <v>136</v>
      </c>
      <c r="E63" s="5" t="s">
        <v>260</v>
      </c>
      <c r="F63" s="2">
        <v>98936.38</v>
      </c>
      <c r="G63" s="3">
        <v>0</v>
      </c>
      <c r="H63" s="3">
        <v>98180</v>
      </c>
      <c r="I63" s="3">
        <v>0</v>
      </c>
      <c r="J63" s="3">
        <v>0</v>
      </c>
      <c r="K63" s="3">
        <v>0</v>
      </c>
      <c r="L63" s="15">
        <v>0</v>
      </c>
      <c r="M63" s="15">
        <v>756.38</v>
      </c>
    </row>
    <row r="64" spans="1:13" ht="24" x14ac:dyDescent="0.4">
      <c r="A64" s="4" t="s">
        <v>226</v>
      </c>
      <c r="B64" s="5" t="s">
        <v>64</v>
      </c>
      <c r="C64" s="5" t="s">
        <v>114</v>
      </c>
      <c r="D64" s="5" t="s">
        <v>140</v>
      </c>
      <c r="E64" s="5" t="s">
        <v>260</v>
      </c>
      <c r="F64" s="2">
        <v>61299</v>
      </c>
      <c r="G64" s="3">
        <v>0</v>
      </c>
      <c r="H64" s="3">
        <v>0</v>
      </c>
      <c r="I64" s="3">
        <v>0</v>
      </c>
      <c r="J64" s="3">
        <v>0</v>
      </c>
      <c r="K64" s="3">
        <v>31299</v>
      </c>
      <c r="L64" s="15">
        <v>0</v>
      </c>
      <c r="M64" s="15">
        <v>30000</v>
      </c>
    </row>
    <row r="65" spans="1:13" ht="24" x14ac:dyDescent="0.4">
      <c r="A65" s="4" t="s">
        <v>215</v>
      </c>
      <c r="B65" s="5" t="s">
        <v>57</v>
      </c>
      <c r="C65" s="5" t="s">
        <v>114</v>
      </c>
      <c r="D65" s="5" t="s">
        <v>151</v>
      </c>
      <c r="E65" s="5" t="s">
        <v>260</v>
      </c>
      <c r="F65" s="2">
        <v>3.91</v>
      </c>
      <c r="G65" s="3">
        <v>0</v>
      </c>
      <c r="H65" s="3">
        <v>0</v>
      </c>
      <c r="I65" s="3">
        <v>3.91</v>
      </c>
      <c r="J65" s="3">
        <v>0</v>
      </c>
      <c r="K65" s="3">
        <v>0</v>
      </c>
      <c r="L65" s="15">
        <v>0</v>
      </c>
      <c r="M65" s="15">
        <v>0</v>
      </c>
    </row>
    <row r="66" spans="1:13" ht="24" x14ac:dyDescent="0.4">
      <c r="A66" s="4" t="s">
        <v>218</v>
      </c>
      <c r="B66" s="5" t="s">
        <v>59</v>
      </c>
      <c r="C66" s="5" t="s">
        <v>114</v>
      </c>
      <c r="D66" s="5" t="s">
        <v>135</v>
      </c>
      <c r="E66" s="5" t="s">
        <v>260</v>
      </c>
      <c r="F66" s="2">
        <v>30000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15">
        <v>0</v>
      </c>
      <c r="M66" s="15">
        <v>30000</v>
      </c>
    </row>
    <row r="67" spans="1:13" ht="24" x14ac:dyDescent="0.4">
      <c r="A67" s="4" t="s">
        <v>88</v>
      </c>
      <c r="B67" s="5" t="s">
        <v>264</v>
      </c>
      <c r="C67" s="5" t="s">
        <v>114</v>
      </c>
      <c r="D67" s="5" t="s">
        <v>135</v>
      </c>
      <c r="E67" s="5" t="s">
        <v>260</v>
      </c>
      <c r="F67" s="2">
        <v>47740</v>
      </c>
      <c r="G67" s="3">
        <v>0</v>
      </c>
      <c r="H67" s="3">
        <v>0</v>
      </c>
      <c r="I67" s="3">
        <v>47740</v>
      </c>
      <c r="J67" s="3">
        <v>0</v>
      </c>
      <c r="K67" s="3">
        <v>0</v>
      </c>
      <c r="L67" s="15">
        <v>0</v>
      </c>
      <c r="M67" s="15">
        <v>0</v>
      </c>
    </row>
    <row r="68" spans="1:13" ht="24" x14ac:dyDescent="0.4">
      <c r="A68" s="4" t="s">
        <v>102</v>
      </c>
      <c r="B68" s="5" t="s">
        <v>38</v>
      </c>
      <c r="C68" s="5" t="s">
        <v>114</v>
      </c>
      <c r="D68" s="5" t="s">
        <v>135</v>
      </c>
      <c r="E68" s="5" t="s">
        <v>260</v>
      </c>
      <c r="F68" s="2">
        <v>0</v>
      </c>
      <c r="G68" s="3"/>
      <c r="H68" s="3"/>
      <c r="I68" s="3"/>
      <c r="J68" s="3"/>
      <c r="K68" s="3"/>
      <c r="L68" s="15"/>
      <c r="M68" s="15"/>
    </row>
    <row r="69" spans="1:13" ht="24" x14ac:dyDescent="0.4">
      <c r="A69" s="4" t="s">
        <v>190</v>
      </c>
      <c r="B69" s="5" t="s">
        <v>171</v>
      </c>
      <c r="C69" s="5" t="s">
        <v>114</v>
      </c>
      <c r="D69" s="5" t="s">
        <v>135</v>
      </c>
      <c r="E69" s="5" t="s">
        <v>260</v>
      </c>
      <c r="F69" s="2">
        <v>24990</v>
      </c>
      <c r="G69" s="3">
        <v>0</v>
      </c>
      <c r="H69" s="3">
        <v>0</v>
      </c>
      <c r="I69" s="3">
        <v>0</v>
      </c>
      <c r="J69" s="3">
        <v>0</v>
      </c>
      <c r="K69" s="3">
        <v>24990</v>
      </c>
      <c r="L69" s="15">
        <v>0</v>
      </c>
      <c r="M69" s="15">
        <v>0</v>
      </c>
    </row>
    <row r="70" spans="1:13" ht="24" x14ac:dyDescent="0.4">
      <c r="A70" s="4" t="s">
        <v>238</v>
      </c>
      <c r="B70" s="5" t="s">
        <v>70</v>
      </c>
      <c r="C70" s="5" t="s">
        <v>114</v>
      </c>
      <c r="D70" s="5" t="s">
        <v>295</v>
      </c>
      <c r="E70" s="5" t="s">
        <v>260</v>
      </c>
      <c r="F70" s="2">
        <v>22180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15">
        <v>0</v>
      </c>
      <c r="M70" s="15">
        <v>22180</v>
      </c>
    </row>
    <row r="71" spans="1:13" ht="24" x14ac:dyDescent="0.4">
      <c r="A71" s="4" t="s">
        <v>240</v>
      </c>
      <c r="B71" s="5" t="s">
        <v>71</v>
      </c>
      <c r="C71" s="5" t="s">
        <v>114</v>
      </c>
      <c r="D71" s="5" t="s">
        <v>143</v>
      </c>
      <c r="E71" s="5" t="s">
        <v>260</v>
      </c>
      <c r="F71" s="2">
        <v>14900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15">
        <v>0</v>
      </c>
      <c r="M71" s="15">
        <v>14900</v>
      </c>
    </row>
    <row r="72" spans="1:13" ht="24" x14ac:dyDescent="0.4">
      <c r="A72" s="4" t="s">
        <v>237</v>
      </c>
      <c r="B72" s="5" t="s">
        <v>69</v>
      </c>
      <c r="C72" s="5" t="s">
        <v>114</v>
      </c>
      <c r="D72" s="5" t="s">
        <v>125</v>
      </c>
      <c r="E72" s="5" t="s">
        <v>260</v>
      </c>
      <c r="F72" s="2">
        <v>55660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15">
        <v>0</v>
      </c>
      <c r="M72" s="15">
        <v>55660</v>
      </c>
    </row>
    <row r="73" spans="1:13" ht="24" x14ac:dyDescent="0.4">
      <c r="A73" s="4" t="s">
        <v>192</v>
      </c>
      <c r="B73" s="5" t="s">
        <v>276</v>
      </c>
      <c r="C73" s="5" t="s">
        <v>114</v>
      </c>
      <c r="D73" s="5" t="s">
        <v>125</v>
      </c>
      <c r="E73" s="5" t="s">
        <v>260</v>
      </c>
      <c r="F73" s="2">
        <v>26590</v>
      </c>
      <c r="G73" s="3">
        <v>0</v>
      </c>
      <c r="H73" s="3">
        <v>26590</v>
      </c>
      <c r="I73" s="3">
        <v>0</v>
      </c>
      <c r="J73" s="3">
        <v>0</v>
      </c>
      <c r="K73" s="3">
        <v>0</v>
      </c>
      <c r="L73" s="15">
        <v>0</v>
      </c>
      <c r="M73" s="15">
        <v>0</v>
      </c>
    </row>
    <row r="74" spans="1:13" ht="24" x14ac:dyDescent="0.4">
      <c r="A74" s="4" t="s">
        <v>177</v>
      </c>
      <c r="B74" s="5" t="s">
        <v>272</v>
      </c>
      <c r="C74" s="5" t="s">
        <v>114</v>
      </c>
      <c r="D74" s="5" t="s">
        <v>125</v>
      </c>
      <c r="E74" s="5" t="s">
        <v>260</v>
      </c>
      <c r="F74" s="2">
        <v>19590</v>
      </c>
      <c r="G74" s="3">
        <v>0</v>
      </c>
      <c r="H74" s="3">
        <v>0</v>
      </c>
      <c r="I74" s="3">
        <v>19590</v>
      </c>
      <c r="J74" s="3">
        <v>0</v>
      </c>
      <c r="K74" s="3">
        <v>0</v>
      </c>
      <c r="L74" s="15">
        <v>0</v>
      </c>
      <c r="M74" s="15">
        <v>0</v>
      </c>
    </row>
    <row r="75" spans="1:13" ht="24" x14ac:dyDescent="0.4">
      <c r="A75" s="4" t="s">
        <v>187</v>
      </c>
      <c r="B75" s="5" t="s">
        <v>159</v>
      </c>
      <c r="C75" s="5" t="s">
        <v>114</v>
      </c>
      <c r="D75" s="5" t="s">
        <v>254</v>
      </c>
      <c r="E75" s="5" t="s">
        <v>260</v>
      </c>
      <c r="F75" s="2">
        <v>0</v>
      </c>
      <c r="G75" s="3"/>
      <c r="H75" s="3"/>
      <c r="I75" s="3"/>
      <c r="J75" s="3"/>
      <c r="K75" s="3"/>
      <c r="L75" s="15"/>
      <c r="M75" s="15"/>
    </row>
    <row r="76" spans="1:13" ht="24" x14ac:dyDescent="0.4">
      <c r="A76" s="4" t="s">
        <v>192</v>
      </c>
      <c r="B76" s="5" t="s">
        <v>275</v>
      </c>
      <c r="C76" s="5" t="s">
        <v>114</v>
      </c>
      <c r="D76" s="5" t="s">
        <v>298</v>
      </c>
      <c r="E76" s="5" t="s">
        <v>260</v>
      </c>
      <c r="F76" s="2">
        <v>26590</v>
      </c>
      <c r="G76" s="3">
        <v>0</v>
      </c>
      <c r="H76" s="3">
        <v>0</v>
      </c>
      <c r="I76" s="3">
        <v>26590</v>
      </c>
      <c r="J76" s="3">
        <v>0</v>
      </c>
      <c r="K76" s="3">
        <v>0</v>
      </c>
      <c r="L76" s="15">
        <v>0</v>
      </c>
      <c r="M76" s="15">
        <v>0</v>
      </c>
    </row>
    <row r="77" spans="1:13" ht="24" x14ac:dyDescent="0.4">
      <c r="A77" s="4" t="s">
        <v>281</v>
      </c>
      <c r="B77" s="5" t="s">
        <v>280</v>
      </c>
      <c r="C77" s="5" t="s">
        <v>114</v>
      </c>
      <c r="D77" s="5" t="s">
        <v>296</v>
      </c>
      <c r="E77" s="5" t="s">
        <v>260</v>
      </c>
      <c r="F77" s="2">
        <v>0</v>
      </c>
      <c r="G77" s="3"/>
      <c r="H77" s="3"/>
      <c r="I77" s="3"/>
      <c r="J77" s="3"/>
      <c r="K77" s="3"/>
      <c r="L77" s="15"/>
      <c r="M77" s="15"/>
    </row>
    <row r="78" spans="1:13" ht="24" x14ac:dyDescent="0.4">
      <c r="A78" s="4" t="s">
        <v>221</v>
      </c>
      <c r="B78" s="5" t="s">
        <v>61</v>
      </c>
      <c r="C78" s="5" t="s">
        <v>114</v>
      </c>
      <c r="D78" s="5" t="s">
        <v>133</v>
      </c>
      <c r="E78" s="5" t="s">
        <v>260</v>
      </c>
      <c r="F78" s="2">
        <v>0</v>
      </c>
      <c r="G78" s="3"/>
      <c r="H78" s="3"/>
      <c r="I78" s="3"/>
      <c r="J78" s="3"/>
      <c r="K78" s="3"/>
      <c r="L78" s="15"/>
      <c r="M78" s="15"/>
    </row>
    <row r="79" spans="1:13" ht="24" x14ac:dyDescent="0.4">
      <c r="A79" s="4" t="s">
        <v>196</v>
      </c>
      <c r="B79" s="5" t="s">
        <v>48</v>
      </c>
      <c r="C79" s="5" t="s">
        <v>114</v>
      </c>
      <c r="D79" s="5" t="s">
        <v>149</v>
      </c>
      <c r="E79" s="5" t="s">
        <v>260</v>
      </c>
      <c r="F79" s="2">
        <v>0</v>
      </c>
      <c r="G79" s="3"/>
      <c r="H79" s="3"/>
      <c r="I79" s="3"/>
      <c r="J79" s="3"/>
      <c r="K79" s="3"/>
      <c r="L79" s="15"/>
      <c r="M79" s="15"/>
    </row>
    <row r="80" spans="1:13" ht="24" x14ac:dyDescent="0.4">
      <c r="A80" s="4" t="s">
        <v>235</v>
      </c>
      <c r="B80" s="5" t="s">
        <v>68</v>
      </c>
      <c r="C80" s="5" t="s">
        <v>114</v>
      </c>
      <c r="D80" s="5" t="s">
        <v>135</v>
      </c>
      <c r="E80" s="5" t="s">
        <v>260</v>
      </c>
      <c r="F80" s="2">
        <v>0</v>
      </c>
      <c r="G80" s="3"/>
      <c r="H80" s="3"/>
      <c r="I80" s="3"/>
      <c r="J80" s="3"/>
      <c r="K80" s="3"/>
      <c r="L80" s="15"/>
      <c r="M80" s="15"/>
    </row>
    <row r="81" spans="1:13" ht="24" x14ac:dyDescent="0.4">
      <c r="A81" s="4" t="s">
        <v>88</v>
      </c>
      <c r="B81" s="5" t="s">
        <v>39</v>
      </c>
      <c r="C81" s="5" t="s">
        <v>114</v>
      </c>
      <c r="D81" s="5" t="s">
        <v>124</v>
      </c>
      <c r="E81" s="5" t="s">
        <v>260</v>
      </c>
      <c r="F81" s="2">
        <v>26480</v>
      </c>
      <c r="G81" s="3">
        <v>0</v>
      </c>
      <c r="H81" s="3">
        <v>0</v>
      </c>
      <c r="I81" s="3">
        <v>24990</v>
      </c>
      <c r="J81" s="3">
        <v>0</v>
      </c>
      <c r="K81" s="3">
        <v>0</v>
      </c>
      <c r="L81" s="15">
        <v>0</v>
      </c>
      <c r="M81" s="15">
        <v>1490</v>
      </c>
    </row>
    <row r="82" spans="1:13" ht="24" x14ac:dyDescent="0.4">
      <c r="A82" s="4" t="s">
        <v>210</v>
      </c>
      <c r="B82" s="5" t="s">
        <v>274</v>
      </c>
      <c r="C82" s="5" t="s">
        <v>260</v>
      </c>
      <c r="D82" s="5" t="s">
        <v>260</v>
      </c>
      <c r="E82" s="5" t="s">
        <v>260</v>
      </c>
      <c r="F82" s="2">
        <v>26590</v>
      </c>
      <c r="G82" s="3">
        <v>0</v>
      </c>
      <c r="H82" s="3">
        <v>0</v>
      </c>
      <c r="I82" s="3">
        <v>26590</v>
      </c>
      <c r="J82" s="3">
        <v>0</v>
      </c>
      <c r="K82" s="3">
        <v>0</v>
      </c>
      <c r="L82" s="15">
        <v>0</v>
      </c>
      <c r="M82" s="15">
        <v>0</v>
      </c>
    </row>
    <row r="83" spans="1:13" ht="24" x14ac:dyDescent="0.4">
      <c r="A83" s="4" t="s">
        <v>87</v>
      </c>
      <c r="B83" s="5" t="s">
        <v>43</v>
      </c>
      <c r="C83" s="5" t="s">
        <v>114</v>
      </c>
      <c r="D83" s="5" t="s">
        <v>148</v>
      </c>
      <c r="E83" s="5" t="s">
        <v>260</v>
      </c>
      <c r="F83" s="2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15">
        <v>0</v>
      </c>
      <c r="M83" s="15">
        <v>0</v>
      </c>
    </row>
    <row r="84" spans="1:13" ht="24" x14ac:dyDescent="0.4">
      <c r="A84" s="4" t="s">
        <v>235</v>
      </c>
      <c r="B84" s="5" t="s">
        <v>265</v>
      </c>
      <c r="C84" s="5" t="s">
        <v>114</v>
      </c>
      <c r="D84" s="5" t="s">
        <v>290</v>
      </c>
      <c r="E84" s="5" t="s">
        <v>115</v>
      </c>
      <c r="F84" s="2">
        <v>24990</v>
      </c>
      <c r="G84" s="3">
        <v>0</v>
      </c>
      <c r="H84" s="3">
        <v>0</v>
      </c>
      <c r="I84" s="3">
        <v>24990</v>
      </c>
      <c r="J84" s="3">
        <v>0</v>
      </c>
      <c r="K84" s="3">
        <v>0</v>
      </c>
      <c r="L84" s="15">
        <v>0</v>
      </c>
      <c r="M84" s="15">
        <v>0</v>
      </c>
    </row>
    <row r="85" spans="1:13" ht="24" x14ac:dyDescent="0.4">
      <c r="A85" s="4" t="s">
        <v>242</v>
      </c>
      <c r="B85" s="5" t="s">
        <v>175</v>
      </c>
      <c r="C85" s="5" t="s">
        <v>114</v>
      </c>
      <c r="D85" s="5" t="s">
        <v>125</v>
      </c>
      <c r="E85" s="5" t="s">
        <v>115</v>
      </c>
      <c r="F85" s="2">
        <v>99169</v>
      </c>
      <c r="G85" s="3">
        <v>26590</v>
      </c>
      <c r="H85" s="3">
        <v>0</v>
      </c>
      <c r="I85" s="3">
        <v>0</v>
      </c>
      <c r="J85" s="3">
        <v>72579</v>
      </c>
      <c r="K85" s="3">
        <v>0</v>
      </c>
      <c r="L85" s="15">
        <v>0</v>
      </c>
      <c r="M85" s="15">
        <v>0</v>
      </c>
    </row>
    <row r="86" spans="1:13" ht="24" x14ac:dyDescent="0.4">
      <c r="A86" s="4" t="s">
        <v>177</v>
      </c>
      <c r="B86" s="5" t="s">
        <v>45</v>
      </c>
      <c r="C86" s="5" t="s">
        <v>114</v>
      </c>
      <c r="D86" s="5" t="s">
        <v>290</v>
      </c>
      <c r="E86" s="5" t="s">
        <v>115</v>
      </c>
      <c r="F86" s="2">
        <v>0</v>
      </c>
      <c r="G86" s="3"/>
      <c r="H86" s="3"/>
      <c r="I86" s="3"/>
      <c r="J86" s="3"/>
      <c r="K86" s="3"/>
      <c r="L86" s="15"/>
      <c r="M86" s="15"/>
    </row>
    <row r="87" spans="1:13" ht="24" x14ac:dyDescent="0.4">
      <c r="A87" s="4" t="s">
        <v>203</v>
      </c>
      <c r="B87" s="5" t="s">
        <v>53</v>
      </c>
      <c r="C87" s="5" t="s">
        <v>114</v>
      </c>
      <c r="D87" s="5" t="s">
        <v>126</v>
      </c>
      <c r="E87" s="5" t="s">
        <v>115</v>
      </c>
      <c r="F87" s="2">
        <v>184730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15">
        <v>0</v>
      </c>
      <c r="M87" s="15">
        <v>184730</v>
      </c>
    </row>
    <row r="88" spans="1:13" ht="24" x14ac:dyDescent="0.4">
      <c r="A88" s="4" t="s">
        <v>225</v>
      </c>
      <c r="B88" s="5" t="s">
        <v>63</v>
      </c>
      <c r="C88" s="5" t="s">
        <v>114</v>
      </c>
      <c r="D88" s="5" t="s">
        <v>126</v>
      </c>
      <c r="E88" s="5" t="s">
        <v>115</v>
      </c>
      <c r="F88" s="2">
        <v>81150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15">
        <v>0</v>
      </c>
      <c r="M88" s="15">
        <v>81150</v>
      </c>
    </row>
    <row r="89" spans="1:13" ht="24" x14ac:dyDescent="0.4">
      <c r="A89" s="4" t="s">
        <v>249</v>
      </c>
      <c r="B89" s="5" t="s">
        <v>277</v>
      </c>
      <c r="C89" s="5" t="s">
        <v>114</v>
      </c>
      <c r="D89" s="5" t="s">
        <v>303</v>
      </c>
      <c r="E89" s="5" t="s">
        <v>115</v>
      </c>
      <c r="F89" s="2">
        <v>69841</v>
      </c>
      <c r="G89" s="3">
        <v>0</v>
      </c>
      <c r="H89" s="3">
        <v>69841</v>
      </c>
      <c r="I89" s="3">
        <v>0</v>
      </c>
      <c r="J89" s="3">
        <v>0</v>
      </c>
      <c r="K89" s="3">
        <v>0</v>
      </c>
      <c r="L89" s="15">
        <v>0</v>
      </c>
      <c r="M89" s="15">
        <v>0</v>
      </c>
    </row>
    <row r="90" spans="1:13" ht="24" x14ac:dyDescent="0.4">
      <c r="A90" s="4" t="s">
        <v>98</v>
      </c>
      <c r="B90" s="5" t="s">
        <v>1</v>
      </c>
      <c r="C90" s="5" t="s">
        <v>109</v>
      </c>
      <c r="D90" s="5" t="s">
        <v>109</v>
      </c>
      <c r="E90" s="5" t="s">
        <v>115</v>
      </c>
      <c r="F90" s="2">
        <v>91994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15">
        <v>0</v>
      </c>
      <c r="M90" s="15">
        <v>91994</v>
      </c>
    </row>
    <row r="91" spans="1:13" ht="24" x14ac:dyDescent="0.4">
      <c r="A91" s="4" t="s">
        <v>185</v>
      </c>
      <c r="B91" s="5" t="s">
        <v>27</v>
      </c>
      <c r="C91" s="5" t="s">
        <v>128</v>
      </c>
      <c r="D91" s="5" t="s">
        <v>129</v>
      </c>
      <c r="E91" s="5" t="s">
        <v>157</v>
      </c>
      <c r="F91" s="2">
        <v>130250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15">
        <v>0</v>
      </c>
      <c r="M91" s="15">
        <v>130250</v>
      </c>
    </row>
    <row r="92" spans="1:13" ht="24" x14ac:dyDescent="0.4">
      <c r="A92" s="4" t="s">
        <v>91</v>
      </c>
      <c r="B92" s="5" t="s">
        <v>24</v>
      </c>
      <c r="C92" s="5" t="s">
        <v>128</v>
      </c>
      <c r="D92" s="5" t="s">
        <v>129</v>
      </c>
      <c r="E92" s="5" t="s">
        <v>157</v>
      </c>
      <c r="F92" s="2">
        <v>3290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15">
        <v>0</v>
      </c>
      <c r="M92" s="15">
        <v>3290</v>
      </c>
    </row>
    <row r="93" spans="1:13" ht="24" x14ac:dyDescent="0.4">
      <c r="A93" s="4" t="s">
        <v>228</v>
      </c>
      <c r="B93" s="5" t="s">
        <v>166</v>
      </c>
      <c r="C93" s="5" t="s">
        <v>256</v>
      </c>
      <c r="D93" s="5" t="s">
        <v>256</v>
      </c>
      <c r="E93" s="5" t="s">
        <v>118</v>
      </c>
      <c r="F93" s="2">
        <v>47800</v>
      </c>
      <c r="G93" s="3">
        <v>0</v>
      </c>
      <c r="H93" s="3">
        <v>0</v>
      </c>
      <c r="I93" s="3">
        <v>0</v>
      </c>
      <c r="J93" s="3">
        <v>0</v>
      </c>
      <c r="K93" s="3">
        <v>47800</v>
      </c>
      <c r="L93" s="15">
        <v>0</v>
      </c>
      <c r="M93" s="15">
        <v>0</v>
      </c>
    </row>
    <row r="94" spans="1:13" ht="24" x14ac:dyDescent="0.4">
      <c r="A94" s="4" t="s">
        <v>89</v>
      </c>
      <c r="B94" s="5" t="s">
        <v>42</v>
      </c>
      <c r="C94" s="5" t="s">
        <v>137</v>
      </c>
      <c r="D94" s="5" t="s">
        <v>138</v>
      </c>
      <c r="E94" s="5" t="s">
        <v>118</v>
      </c>
      <c r="F94" s="2">
        <v>80770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15">
        <v>0</v>
      </c>
      <c r="M94" s="15">
        <v>80770</v>
      </c>
    </row>
    <row r="95" spans="1:13" ht="24" x14ac:dyDescent="0.4">
      <c r="A95" s="4" t="s">
        <v>243</v>
      </c>
      <c r="B95" s="5" t="s">
        <v>72</v>
      </c>
      <c r="C95" s="5" t="s">
        <v>114</v>
      </c>
      <c r="D95" s="5" t="s">
        <v>288</v>
      </c>
      <c r="E95" s="5" t="s">
        <v>118</v>
      </c>
      <c r="F95" s="2">
        <v>134760</v>
      </c>
      <c r="G95" s="3">
        <v>100480</v>
      </c>
      <c r="H95" s="3">
        <v>29590</v>
      </c>
      <c r="I95" s="3">
        <v>4690</v>
      </c>
      <c r="J95" s="3">
        <v>0</v>
      </c>
      <c r="K95" s="3">
        <v>0</v>
      </c>
      <c r="L95" s="15">
        <v>0</v>
      </c>
      <c r="M95" s="15">
        <v>0</v>
      </c>
    </row>
    <row r="96" spans="1:13" ht="24" x14ac:dyDescent="0.4">
      <c r="A96" s="4" t="s">
        <v>204</v>
      </c>
      <c r="B96" s="5" t="s">
        <v>54</v>
      </c>
      <c r="C96" s="5" t="s">
        <v>114</v>
      </c>
      <c r="D96" s="5" t="s">
        <v>289</v>
      </c>
      <c r="E96" s="5" t="s">
        <v>118</v>
      </c>
      <c r="F96" s="2">
        <v>71020</v>
      </c>
      <c r="G96" s="3">
        <v>49980</v>
      </c>
      <c r="H96" s="3">
        <v>0</v>
      </c>
      <c r="I96" s="3">
        <v>0</v>
      </c>
      <c r="J96" s="3">
        <v>0</v>
      </c>
      <c r="K96" s="3">
        <v>0</v>
      </c>
      <c r="L96" s="15">
        <v>0</v>
      </c>
      <c r="M96" s="15">
        <v>21040</v>
      </c>
    </row>
    <row r="97" spans="1:13" ht="24" x14ac:dyDescent="0.4">
      <c r="A97" s="4" t="s">
        <v>249</v>
      </c>
      <c r="B97" s="5" t="s">
        <v>75</v>
      </c>
      <c r="C97" s="5" t="s">
        <v>114</v>
      </c>
      <c r="D97" s="5" t="s">
        <v>150</v>
      </c>
      <c r="E97" s="5" t="s">
        <v>118</v>
      </c>
      <c r="F97" s="2">
        <v>0</v>
      </c>
      <c r="G97" s="3"/>
      <c r="H97" s="3"/>
      <c r="I97" s="3"/>
      <c r="J97" s="3"/>
      <c r="K97" s="3"/>
      <c r="L97" s="15"/>
      <c r="M97" s="15"/>
    </row>
    <row r="98" spans="1:13" ht="24" x14ac:dyDescent="0.4">
      <c r="A98" s="4" t="s">
        <v>209</v>
      </c>
      <c r="B98" s="5" t="s">
        <v>56</v>
      </c>
      <c r="C98" s="5" t="s">
        <v>114</v>
      </c>
      <c r="D98" s="5" t="s">
        <v>146</v>
      </c>
      <c r="E98" s="5" t="s">
        <v>118</v>
      </c>
      <c r="F98" s="2">
        <v>6224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15">
        <v>0</v>
      </c>
      <c r="M98" s="15">
        <v>6224</v>
      </c>
    </row>
    <row r="99" spans="1:13" ht="24" x14ac:dyDescent="0.4">
      <c r="A99" s="4" t="s">
        <v>199</v>
      </c>
      <c r="B99" s="5" t="s">
        <v>50</v>
      </c>
      <c r="C99" s="5" t="s">
        <v>114</v>
      </c>
      <c r="D99" s="5" t="s">
        <v>117</v>
      </c>
      <c r="E99" s="5" t="s">
        <v>118</v>
      </c>
      <c r="F99" s="2">
        <v>1225031</v>
      </c>
      <c r="G99" s="3">
        <v>0</v>
      </c>
      <c r="H99" s="3">
        <v>418708</v>
      </c>
      <c r="I99" s="3">
        <v>0</v>
      </c>
      <c r="J99" s="3">
        <v>0</v>
      </c>
      <c r="K99" s="3">
        <v>125196</v>
      </c>
      <c r="L99" s="15">
        <v>0</v>
      </c>
      <c r="M99" s="15">
        <v>681127</v>
      </c>
    </row>
    <row r="100" spans="1:13" ht="24" x14ac:dyDescent="0.4">
      <c r="A100" s="4" t="s">
        <v>244</v>
      </c>
      <c r="B100" s="5" t="s">
        <v>73</v>
      </c>
      <c r="C100" s="5" t="s">
        <v>114</v>
      </c>
      <c r="D100" s="5" t="s">
        <v>117</v>
      </c>
      <c r="E100" s="5" t="s">
        <v>118</v>
      </c>
      <c r="F100" s="2">
        <v>486764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15">
        <v>0</v>
      </c>
      <c r="M100" s="15">
        <v>486764</v>
      </c>
    </row>
    <row r="101" spans="1:13" ht="24" x14ac:dyDescent="0.4">
      <c r="A101" s="4" t="s">
        <v>200</v>
      </c>
      <c r="B101" s="5" t="s">
        <v>51</v>
      </c>
      <c r="C101" s="5" t="s">
        <v>114</v>
      </c>
      <c r="D101" s="5" t="s">
        <v>117</v>
      </c>
      <c r="E101" s="5" t="s">
        <v>118</v>
      </c>
      <c r="F101" s="2">
        <v>59660</v>
      </c>
      <c r="G101" s="3">
        <v>49980</v>
      </c>
      <c r="H101" s="3">
        <v>0</v>
      </c>
      <c r="I101" s="3">
        <v>0</v>
      </c>
      <c r="J101" s="3">
        <v>0</v>
      </c>
      <c r="K101" s="3">
        <v>0</v>
      </c>
      <c r="L101" s="15">
        <v>0</v>
      </c>
      <c r="M101" s="15">
        <v>9680</v>
      </c>
    </row>
    <row r="102" spans="1:13" ht="24" x14ac:dyDescent="0.4">
      <c r="A102" s="4" t="s">
        <v>211</v>
      </c>
      <c r="B102" s="5" t="s">
        <v>161</v>
      </c>
      <c r="C102" s="5" t="s">
        <v>114</v>
      </c>
      <c r="D102" s="5" t="s">
        <v>293</v>
      </c>
      <c r="E102" s="5" t="s">
        <v>118</v>
      </c>
      <c r="F102" s="2">
        <v>1775</v>
      </c>
      <c r="G102" s="3">
        <v>0</v>
      </c>
      <c r="H102" s="3">
        <v>1775</v>
      </c>
      <c r="I102" s="3">
        <v>0</v>
      </c>
      <c r="J102" s="3">
        <v>0</v>
      </c>
      <c r="K102" s="3">
        <v>0</v>
      </c>
      <c r="L102" s="15">
        <v>0</v>
      </c>
      <c r="M102" s="15">
        <v>0</v>
      </c>
    </row>
    <row r="103" spans="1:13" ht="24" x14ac:dyDescent="0.4">
      <c r="A103" s="4" t="s">
        <v>100</v>
      </c>
      <c r="B103" s="5" t="s">
        <v>167</v>
      </c>
      <c r="C103" s="5" t="s">
        <v>114</v>
      </c>
      <c r="D103" s="5" t="s">
        <v>135</v>
      </c>
      <c r="E103" s="5" t="s">
        <v>118</v>
      </c>
      <c r="F103" s="2">
        <v>0</v>
      </c>
      <c r="G103" s="3"/>
      <c r="H103" s="3"/>
      <c r="I103" s="3"/>
      <c r="J103" s="3"/>
      <c r="K103" s="3"/>
      <c r="L103" s="15"/>
      <c r="M103" s="15"/>
    </row>
    <row r="104" spans="1:13" ht="24" x14ac:dyDescent="0.4">
      <c r="A104" s="4" t="s">
        <v>248</v>
      </c>
      <c r="B104" s="5" t="s">
        <v>74</v>
      </c>
      <c r="C104" s="5" t="s">
        <v>114</v>
      </c>
      <c r="D104" s="5" t="s">
        <v>139</v>
      </c>
      <c r="E104" s="5" t="s">
        <v>118</v>
      </c>
      <c r="F104" s="2">
        <v>25730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15">
        <v>25730</v>
      </c>
      <c r="M104" s="15">
        <v>0</v>
      </c>
    </row>
    <row r="105" spans="1:13" ht="24" x14ac:dyDescent="0.4">
      <c r="A105" s="4" t="s">
        <v>223</v>
      </c>
      <c r="B105" s="5" t="s">
        <v>62</v>
      </c>
      <c r="C105" s="5" t="s">
        <v>114</v>
      </c>
      <c r="D105" s="5" t="s">
        <v>139</v>
      </c>
      <c r="E105" s="5" t="s">
        <v>118</v>
      </c>
      <c r="F105" s="2">
        <v>19180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15">
        <v>0</v>
      </c>
      <c r="M105" s="15">
        <v>19180</v>
      </c>
    </row>
    <row r="106" spans="1:13" ht="24" x14ac:dyDescent="0.4">
      <c r="A106" s="4" t="s">
        <v>201</v>
      </c>
      <c r="B106" s="5" t="s">
        <v>52</v>
      </c>
      <c r="C106" s="5" t="s">
        <v>114</v>
      </c>
      <c r="D106" s="5" t="s">
        <v>139</v>
      </c>
      <c r="E106" s="5" t="s">
        <v>118</v>
      </c>
      <c r="F106" s="2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15">
        <v>0</v>
      </c>
      <c r="M106" s="15">
        <v>0</v>
      </c>
    </row>
    <row r="107" spans="1:13" ht="24" x14ac:dyDescent="0.4">
      <c r="A107" s="4" t="s">
        <v>197</v>
      </c>
      <c r="B107" s="5" t="s">
        <v>49</v>
      </c>
      <c r="C107" s="5" t="s">
        <v>114</v>
      </c>
      <c r="D107" s="5" t="s">
        <v>144</v>
      </c>
      <c r="E107" s="5" t="s">
        <v>118</v>
      </c>
      <c r="F107" s="2">
        <v>0</v>
      </c>
      <c r="G107" s="3"/>
      <c r="H107" s="3"/>
      <c r="I107" s="3"/>
      <c r="J107" s="3"/>
      <c r="K107" s="3"/>
      <c r="L107" s="15"/>
      <c r="M107" s="15"/>
    </row>
    <row r="108" spans="1:13" ht="24" x14ac:dyDescent="0.4">
      <c r="A108" s="4" t="s">
        <v>183</v>
      </c>
      <c r="B108" s="5" t="s">
        <v>46</v>
      </c>
      <c r="C108" s="1" t="s">
        <v>114</v>
      </c>
      <c r="D108" s="1" t="s">
        <v>296</v>
      </c>
      <c r="E108" s="1" t="s">
        <v>118</v>
      </c>
      <c r="F108" s="2">
        <v>86568</v>
      </c>
      <c r="G108" s="3">
        <v>31000</v>
      </c>
      <c r="H108" s="3">
        <v>0</v>
      </c>
      <c r="I108" s="3">
        <v>0</v>
      </c>
      <c r="J108" s="3">
        <v>0</v>
      </c>
      <c r="K108" s="3">
        <v>0</v>
      </c>
      <c r="L108" s="15">
        <v>0</v>
      </c>
      <c r="M108" s="15">
        <v>55568</v>
      </c>
    </row>
    <row r="109" spans="1:13" s="17" customFormat="1" ht="24" x14ac:dyDescent="0.4">
      <c r="A109" s="4" t="s">
        <v>234</v>
      </c>
      <c r="B109" s="5" t="s">
        <v>67</v>
      </c>
      <c r="C109" s="1" t="s">
        <v>114</v>
      </c>
      <c r="D109" s="1" t="s">
        <v>297</v>
      </c>
      <c r="E109" s="1" t="s">
        <v>118</v>
      </c>
      <c r="F109" s="2">
        <v>57298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15">
        <v>0</v>
      </c>
      <c r="M109" s="15">
        <v>57298</v>
      </c>
    </row>
    <row r="110" spans="1:13" s="17" customFormat="1" ht="24" x14ac:dyDescent="0.4">
      <c r="A110" s="4" t="s">
        <v>198</v>
      </c>
      <c r="B110" s="5" t="s">
        <v>164</v>
      </c>
      <c r="C110" s="1" t="s">
        <v>114</v>
      </c>
      <c r="D110" s="1" t="s">
        <v>299</v>
      </c>
      <c r="E110" s="1" t="s">
        <v>118</v>
      </c>
      <c r="F110" s="2">
        <v>93447</v>
      </c>
      <c r="G110" s="3">
        <v>24990</v>
      </c>
      <c r="H110" s="3">
        <v>0</v>
      </c>
      <c r="I110" s="3">
        <v>32750</v>
      </c>
      <c r="J110" s="3">
        <v>0</v>
      </c>
      <c r="K110" s="3">
        <v>35707</v>
      </c>
      <c r="L110" s="15">
        <v>0</v>
      </c>
      <c r="M110" s="15">
        <v>0</v>
      </c>
    </row>
    <row r="111" spans="1:13" s="17" customFormat="1" ht="24" x14ac:dyDescent="0.4">
      <c r="A111" s="4" t="s">
        <v>93</v>
      </c>
      <c r="B111" s="5" t="s">
        <v>41</v>
      </c>
      <c r="C111" s="1" t="s">
        <v>114</v>
      </c>
      <c r="D111" s="1" t="s">
        <v>300</v>
      </c>
      <c r="E111" s="1" t="s">
        <v>118</v>
      </c>
      <c r="F111" s="2">
        <v>422911</v>
      </c>
      <c r="G111" s="3">
        <v>77580</v>
      </c>
      <c r="H111" s="3">
        <v>0</v>
      </c>
      <c r="I111" s="3">
        <v>0</v>
      </c>
      <c r="J111" s="3">
        <v>164759</v>
      </c>
      <c r="K111" s="3">
        <v>137398</v>
      </c>
      <c r="L111" s="15">
        <v>42408</v>
      </c>
      <c r="M111" s="15">
        <v>766</v>
      </c>
    </row>
    <row r="112" spans="1:13" s="17" customFormat="1" ht="24" x14ac:dyDescent="0.4">
      <c r="A112" s="4" t="s">
        <v>219</v>
      </c>
      <c r="B112" s="5" t="s">
        <v>60</v>
      </c>
      <c r="C112" s="1" t="s">
        <v>114</v>
      </c>
      <c r="D112" s="1" t="s">
        <v>301</v>
      </c>
      <c r="E112" s="1" t="s">
        <v>118</v>
      </c>
      <c r="F112" s="2">
        <v>21562</v>
      </c>
      <c r="G112" s="3">
        <v>0</v>
      </c>
      <c r="H112" s="3">
        <v>0</v>
      </c>
      <c r="I112" s="3">
        <v>0</v>
      </c>
      <c r="J112" s="3">
        <v>0</v>
      </c>
      <c r="K112" s="3">
        <v>21562</v>
      </c>
      <c r="L112" s="15">
        <v>0</v>
      </c>
      <c r="M112" s="15">
        <v>0</v>
      </c>
    </row>
    <row r="113" spans="1:13" s="17" customFormat="1" ht="24" x14ac:dyDescent="0.4">
      <c r="A113" s="4" t="s">
        <v>179</v>
      </c>
      <c r="B113" s="5" t="s">
        <v>168</v>
      </c>
      <c r="C113" s="1" t="s">
        <v>114</v>
      </c>
      <c r="D113" s="1" t="s">
        <v>302</v>
      </c>
      <c r="E113" s="1" t="s">
        <v>118</v>
      </c>
      <c r="F113" s="2">
        <v>0</v>
      </c>
      <c r="G113" s="3"/>
      <c r="H113" s="3"/>
      <c r="I113" s="3"/>
      <c r="J113" s="3"/>
      <c r="K113" s="3"/>
      <c r="L113" s="15"/>
      <c r="M113" s="15"/>
    </row>
    <row r="114" spans="1:13" s="17" customFormat="1" ht="24" x14ac:dyDescent="0.4">
      <c r="A114" s="4" t="s">
        <v>216</v>
      </c>
      <c r="B114" s="5" t="s">
        <v>58</v>
      </c>
      <c r="C114" s="1" t="s">
        <v>114</v>
      </c>
      <c r="D114" s="1" t="s">
        <v>147</v>
      </c>
      <c r="E114" s="1" t="s">
        <v>118</v>
      </c>
      <c r="F114" s="2">
        <v>4076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15">
        <v>0</v>
      </c>
      <c r="M114" s="15">
        <v>4076</v>
      </c>
    </row>
    <row r="115" spans="1:13" s="17" customFormat="1" ht="24" x14ac:dyDescent="0.4">
      <c r="A115" s="4" t="s">
        <v>90</v>
      </c>
      <c r="B115" s="5" t="s">
        <v>40</v>
      </c>
      <c r="C115" s="1" t="s">
        <v>114</v>
      </c>
      <c r="D115" s="1" t="s">
        <v>141</v>
      </c>
      <c r="E115" s="1" t="s">
        <v>118</v>
      </c>
      <c r="F115" s="2">
        <v>0</v>
      </c>
      <c r="G115" s="3"/>
      <c r="H115" s="3"/>
      <c r="I115" s="3"/>
      <c r="J115" s="3"/>
      <c r="K115" s="3"/>
      <c r="L115" s="15"/>
      <c r="M115" s="15"/>
    </row>
    <row r="116" spans="1:13" s="17" customFormat="1" ht="24" x14ac:dyDescent="0.4">
      <c r="A116" s="4" t="s">
        <v>156</v>
      </c>
      <c r="B116" s="5" t="s">
        <v>273</v>
      </c>
      <c r="C116" s="1" t="s">
        <v>114</v>
      </c>
      <c r="D116" s="1" t="s">
        <v>305</v>
      </c>
      <c r="E116" s="1" t="s">
        <v>118</v>
      </c>
      <c r="F116" s="2">
        <v>50520</v>
      </c>
      <c r="G116" s="3">
        <v>50520</v>
      </c>
      <c r="H116" s="3">
        <v>0</v>
      </c>
      <c r="I116" s="3">
        <v>0</v>
      </c>
      <c r="J116" s="3">
        <v>0</v>
      </c>
      <c r="K116" s="3">
        <v>0</v>
      </c>
      <c r="L116" s="15">
        <v>0</v>
      </c>
      <c r="M116" s="15">
        <v>0</v>
      </c>
    </row>
    <row r="117" spans="1:13" s="17" customFormat="1" ht="24" x14ac:dyDescent="0.4">
      <c r="A117" s="4" t="s">
        <v>206</v>
      </c>
      <c r="B117" s="5" t="s">
        <v>55</v>
      </c>
      <c r="C117" s="1" t="s">
        <v>114</v>
      </c>
      <c r="D117" s="1" t="s">
        <v>117</v>
      </c>
      <c r="E117" s="1" t="s">
        <v>118</v>
      </c>
      <c r="F117" s="2">
        <v>209800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15">
        <v>0</v>
      </c>
      <c r="M117" s="15">
        <v>209800</v>
      </c>
    </row>
    <row r="118" spans="1:13" s="18" customFormat="1" ht="24" x14ac:dyDescent="0.4">
      <c r="A118" s="4" t="s">
        <v>94</v>
      </c>
      <c r="B118" s="5" t="s">
        <v>37</v>
      </c>
      <c r="C118" s="1" t="s">
        <v>114</v>
      </c>
      <c r="D118" s="1" t="s">
        <v>130</v>
      </c>
      <c r="E118" s="1" t="s">
        <v>118</v>
      </c>
      <c r="F118" s="2">
        <v>71960</v>
      </c>
      <c r="G118" s="3">
        <v>0</v>
      </c>
      <c r="H118" s="3">
        <v>0</v>
      </c>
      <c r="I118" s="3">
        <v>0</v>
      </c>
      <c r="J118" s="3">
        <v>0</v>
      </c>
      <c r="K118" s="3">
        <v>10000</v>
      </c>
      <c r="L118" s="15">
        <v>0</v>
      </c>
      <c r="M118" s="15">
        <v>61960</v>
      </c>
    </row>
    <row r="119" spans="1:13" s="19" customFormat="1" ht="24" x14ac:dyDescent="0.4">
      <c r="A119" s="4" t="s">
        <v>188</v>
      </c>
      <c r="B119" s="5" t="s">
        <v>170</v>
      </c>
      <c r="C119" s="1" t="s">
        <v>130</v>
      </c>
      <c r="D119" s="1" t="s">
        <v>130</v>
      </c>
      <c r="E119" s="1" t="s">
        <v>118</v>
      </c>
      <c r="F119" s="2">
        <v>0</v>
      </c>
      <c r="G119" s="3"/>
      <c r="H119" s="3"/>
      <c r="I119" s="3"/>
      <c r="J119" s="3"/>
      <c r="K119" s="3"/>
      <c r="L119" s="15"/>
      <c r="M119" s="15"/>
    </row>
    <row r="120" spans="1:13" s="20" customFormat="1" ht="24" x14ac:dyDescent="0.4">
      <c r="A120" s="4" t="s">
        <v>192</v>
      </c>
      <c r="B120" s="5" t="s">
        <v>47</v>
      </c>
      <c r="C120" s="1" t="s">
        <v>130</v>
      </c>
      <c r="D120" s="1" t="s">
        <v>130</v>
      </c>
      <c r="E120" s="1" t="s">
        <v>118</v>
      </c>
      <c r="F120" s="2">
        <v>0</v>
      </c>
      <c r="G120" s="3"/>
      <c r="H120" s="3"/>
      <c r="I120" s="3"/>
      <c r="J120" s="3"/>
      <c r="K120" s="3"/>
      <c r="L120" s="15"/>
      <c r="M120" s="15"/>
    </row>
  </sheetData>
  <protectedRanges>
    <protectedRange algorithmName="SHA-512" hashValue="rZqKqM/F9dSwCctmWYSAbO7wtUybZC9HYQAkgxt0iN03FESges4xGiWszMBcD6/N1+wWr00w2eDcOE63sS9BCA==" saltValue="4ZDhmZn0HlbHRPdtjR6lTw==" spinCount="100000" sqref="A4:M120" name="Lock"/>
  </protectedRanges>
  <autoFilter ref="A3:M3" xr:uid="{38075C44-00EA-45B6-BC1F-98499AFE3A0E}">
    <sortState xmlns:xlrd2="http://schemas.microsoft.com/office/spreadsheetml/2017/richdata2" ref="A4:M120">
      <sortCondition ref="E3"/>
    </sortState>
  </autoFilter>
  <mergeCells count="3">
    <mergeCell ref="A1:F1"/>
    <mergeCell ref="A2:B2"/>
    <mergeCell ref="H1:M1"/>
  </mergeCells>
  <phoneticPr fontId="3" type="noConversion"/>
  <conditionalFormatting sqref="G4:M120">
    <cfRule type="cellIs" dxfId="2" priority="1" operator="greaterThan">
      <formula>0</formula>
    </cfRule>
    <cfRule type="cellIs" dxfId="1" priority="2" operator="lessThan">
      <formula>0</formula>
    </cfRule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85C6-6667-4517-AD9F-1580217746FB}">
  <dimension ref="A1:I96"/>
  <sheetViews>
    <sheetView workbookViewId="0">
      <selection sqref="A1:I96"/>
    </sheetView>
  </sheetViews>
  <sheetFormatPr defaultRowHeight="15" x14ac:dyDescent="0.25"/>
  <cols>
    <col min="1" max="1" width="35.7109375" bestFit="1" customWidth="1"/>
    <col min="2" max="2" width="11.42578125" bestFit="1" customWidth="1"/>
    <col min="3" max="3" width="10.28515625" bestFit="1" customWidth="1"/>
    <col min="4" max="8" width="11.7109375" bestFit="1" customWidth="1"/>
    <col min="9" max="9" width="11" bestFit="1" customWidth="1"/>
  </cols>
  <sheetData>
    <row r="1" spans="1:9" x14ac:dyDescent="0.25">
      <c r="A1" s="21"/>
      <c r="B1" s="33"/>
      <c r="C1" s="33"/>
      <c r="D1" s="33"/>
      <c r="E1" s="33"/>
      <c r="F1" s="33"/>
      <c r="G1" s="33"/>
      <c r="H1" s="33"/>
      <c r="I1" s="33"/>
    </row>
    <row r="2" spans="1:9" x14ac:dyDescent="0.25">
      <c r="A2" s="22"/>
      <c r="B2" s="23"/>
      <c r="C2" s="24"/>
      <c r="D2" s="25"/>
      <c r="E2" s="24"/>
      <c r="F2" s="25"/>
      <c r="G2" s="24"/>
      <c r="H2" s="25"/>
      <c r="I2" s="24"/>
    </row>
    <row r="3" spans="1:9" x14ac:dyDescent="0.25">
      <c r="A3" s="22"/>
      <c r="B3" s="26"/>
      <c r="C3" s="27"/>
      <c r="D3" s="28"/>
      <c r="E3" s="27"/>
      <c r="F3" s="28"/>
      <c r="G3" s="27"/>
      <c r="H3" s="28"/>
      <c r="I3" s="29"/>
    </row>
    <row r="4" spans="1:9" x14ac:dyDescent="0.25">
      <c r="A4" s="22"/>
      <c r="B4" s="26"/>
      <c r="C4" s="27"/>
      <c r="D4" s="28"/>
      <c r="E4" s="27"/>
      <c r="F4" s="28"/>
      <c r="G4" s="29"/>
      <c r="H4" s="28"/>
      <c r="I4" s="29"/>
    </row>
    <row r="5" spans="1:9" x14ac:dyDescent="0.25">
      <c r="A5" s="22"/>
      <c r="B5" s="26"/>
      <c r="C5" s="27"/>
      <c r="D5" s="28"/>
      <c r="E5" s="29"/>
      <c r="F5" s="28"/>
      <c r="G5" s="27"/>
      <c r="H5" s="28"/>
      <c r="I5" s="29"/>
    </row>
    <row r="6" spans="1:9" x14ac:dyDescent="0.25">
      <c r="A6" s="22"/>
      <c r="B6" s="26"/>
      <c r="C6" s="27"/>
      <c r="D6" s="28"/>
      <c r="E6" s="27"/>
      <c r="F6" s="28"/>
      <c r="G6" s="27"/>
      <c r="H6" s="28"/>
      <c r="I6" s="29"/>
    </row>
    <row r="7" spans="1:9" x14ac:dyDescent="0.25">
      <c r="A7" s="22"/>
      <c r="B7" s="26"/>
      <c r="C7" s="27"/>
      <c r="D7" s="26"/>
      <c r="E7" s="27"/>
      <c r="F7" s="28"/>
      <c r="G7" s="27"/>
      <c r="H7" s="28"/>
      <c r="I7" s="27"/>
    </row>
    <row r="8" spans="1:9" x14ac:dyDescent="0.25">
      <c r="A8" s="22"/>
      <c r="B8" s="26"/>
      <c r="C8" s="27"/>
      <c r="D8" s="28"/>
      <c r="E8" s="29"/>
      <c r="F8" s="28"/>
      <c r="G8" s="27"/>
      <c r="H8" s="28"/>
      <c r="I8" s="27"/>
    </row>
    <row r="9" spans="1:9" x14ac:dyDescent="0.25">
      <c r="A9" s="22"/>
      <c r="B9" s="26"/>
      <c r="C9" s="29"/>
      <c r="D9" s="28"/>
      <c r="E9" s="27"/>
      <c r="F9" s="26"/>
      <c r="G9" s="29"/>
      <c r="H9" s="26"/>
      <c r="I9" s="29"/>
    </row>
    <row r="10" spans="1:9" x14ac:dyDescent="0.25">
      <c r="A10" s="22"/>
      <c r="B10" s="26"/>
      <c r="C10" s="27"/>
      <c r="D10" s="28"/>
      <c r="E10" s="27"/>
      <c r="F10" s="28"/>
      <c r="G10" s="29"/>
      <c r="H10" s="28"/>
      <c r="I10" s="29"/>
    </row>
    <row r="11" spans="1:9" x14ac:dyDescent="0.25">
      <c r="A11" s="22"/>
      <c r="B11" s="26"/>
      <c r="C11" s="27"/>
      <c r="D11" s="28"/>
      <c r="E11" s="27"/>
      <c r="F11" s="28"/>
      <c r="G11" s="27"/>
      <c r="H11" s="28"/>
      <c r="I11" s="29"/>
    </row>
    <row r="12" spans="1:9" x14ac:dyDescent="0.25">
      <c r="A12" s="22"/>
      <c r="B12" s="26"/>
      <c r="C12" s="29"/>
      <c r="D12" s="28"/>
      <c r="E12" s="27"/>
      <c r="F12" s="28"/>
      <c r="G12" s="27"/>
      <c r="H12" s="28"/>
      <c r="I12" s="27"/>
    </row>
    <row r="13" spans="1:9" x14ac:dyDescent="0.25">
      <c r="A13" s="22"/>
      <c r="B13" s="26"/>
      <c r="C13" s="27"/>
      <c r="D13" s="28"/>
      <c r="E13" s="29"/>
      <c r="F13" s="28"/>
      <c r="G13" s="27"/>
      <c r="H13" s="28"/>
      <c r="I13" s="27"/>
    </row>
    <row r="14" spans="1:9" x14ac:dyDescent="0.25">
      <c r="A14" s="22"/>
      <c r="B14" s="26"/>
      <c r="C14" s="27"/>
      <c r="D14" s="28"/>
      <c r="E14" s="27"/>
      <c r="F14" s="28"/>
      <c r="G14" s="27"/>
      <c r="H14" s="28"/>
      <c r="I14" s="29"/>
    </row>
    <row r="15" spans="1:9" x14ac:dyDescent="0.25">
      <c r="A15" s="22"/>
      <c r="B15" s="26"/>
      <c r="C15" s="27"/>
      <c r="D15" s="28"/>
      <c r="E15" s="27"/>
      <c r="F15" s="28"/>
      <c r="G15" s="27"/>
      <c r="H15" s="28"/>
      <c r="I15" s="29"/>
    </row>
    <row r="16" spans="1:9" x14ac:dyDescent="0.25">
      <c r="A16" s="22"/>
      <c r="B16" s="26"/>
      <c r="C16" s="27"/>
      <c r="D16" s="28"/>
      <c r="E16" s="27"/>
      <c r="F16" s="28"/>
      <c r="G16" s="27"/>
      <c r="H16" s="28"/>
      <c r="I16" s="29"/>
    </row>
    <row r="17" spans="1:9" x14ac:dyDescent="0.25">
      <c r="A17" s="22"/>
      <c r="B17" s="26"/>
      <c r="C17" s="27"/>
      <c r="D17" s="28"/>
      <c r="E17" s="27"/>
      <c r="F17" s="28"/>
      <c r="G17" s="27"/>
      <c r="H17" s="28"/>
      <c r="I17" s="29"/>
    </row>
    <row r="18" spans="1:9" x14ac:dyDescent="0.25">
      <c r="A18" s="22"/>
      <c r="B18" s="28"/>
      <c r="C18" s="27"/>
      <c r="D18" s="28"/>
      <c r="E18" s="27"/>
      <c r="F18" s="28"/>
      <c r="G18" s="27"/>
      <c r="H18" s="28"/>
      <c r="I18" s="27"/>
    </row>
    <row r="19" spans="1:9" x14ac:dyDescent="0.25">
      <c r="A19" s="22"/>
      <c r="B19" s="26"/>
      <c r="C19" s="29"/>
      <c r="D19" s="28"/>
      <c r="E19" s="27"/>
      <c r="F19" s="28"/>
      <c r="G19" s="27"/>
      <c r="H19" s="28"/>
      <c r="I19" s="27"/>
    </row>
    <row r="20" spans="1:9" x14ac:dyDescent="0.25">
      <c r="A20" s="22"/>
      <c r="B20" s="26"/>
      <c r="C20" s="27"/>
      <c r="D20" s="28"/>
      <c r="E20" s="27"/>
      <c r="F20" s="28"/>
      <c r="G20" s="27"/>
      <c r="H20" s="26"/>
      <c r="I20" s="27"/>
    </row>
    <row r="21" spans="1:9" x14ac:dyDescent="0.25">
      <c r="A21" s="22"/>
      <c r="B21" s="26"/>
      <c r="C21" s="27"/>
      <c r="D21" s="28"/>
      <c r="E21" s="27"/>
      <c r="F21" s="28"/>
      <c r="G21" s="27"/>
      <c r="H21" s="28"/>
      <c r="I21" s="29"/>
    </row>
    <row r="22" spans="1:9" x14ac:dyDescent="0.25">
      <c r="A22" s="22"/>
      <c r="B22" s="26"/>
      <c r="C22" s="27"/>
      <c r="D22" s="28"/>
      <c r="E22" s="27"/>
      <c r="F22" s="28"/>
      <c r="G22" s="27"/>
      <c r="H22" s="28"/>
      <c r="I22" s="29"/>
    </row>
    <row r="23" spans="1:9" x14ac:dyDescent="0.25">
      <c r="A23" s="22"/>
      <c r="B23" s="26"/>
      <c r="C23" s="27"/>
      <c r="D23" s="28"/>
      <c r="E23" s="27"/>
      <c r="F23" s="28"/>
      <c r="G23" s="27"/>
      <c r="H23" s="28"/>
      <c r="I23" s="29"/>
    </row>
    <row r="24" spans="1:9" x14ac:dyDescent="0.25">
      <c r="A24" s="22"/>
      <c r="B24" s="26"/>
      <c r="C24" s="27"/>
      <c r="D24" s="26"/>
      <c r="E24" s="27"/>
      <c r="F24" s="28"/>
      <c r="G24" s="27"/>
      <c r="H24" s="28"/>
      <c r="I24" s="29"/>
    </row>
    <row r="25" spans="1:9" x14ac:dyDescent="0.25">
      <c r="A25" s="22"/>
      <c r="B25" s="26"/>
      <c r="C25" s="27"/>
      <c r="D25" s="28"/>
      <c r="E25" s="27"/>
      <c r="F25" s="28"/>
      <c r="G25" s="27"/>
      <c r="H25" s="28"/>
      <c r="I25" s="29"/>
    </row>
    <row r="26" spans="1:9" x14ac:dyDescent="0.25">
      <c r="A26" s="22"/>
      <c r="B26" s="26"/>
      <c r="C26" s="27"/>
      <c r="D26" s="28"/>
      <c r="E26" s="27"/>
      <c r="F26" s="28"/>
      <c r="G26" s="29"/>
      <c r="H26" s="28"/>
      <c r="I26" s="27"/>
    </row>
    <row r="27" spans="1:9" x14ac:dyDescent="0.25">
      <c r="A27" s="22"/>
      <c r="B27" s="26"/>
      <c r="C27" s="27"/>
      <c r="D27" s="26"/>
      <c r="E27" s="27"/>
      <c r="F27" s="28"/>
      <c r="G27" s="27"/>
      <c r="H27" s="28"/>
      <c r="I27" s="27"/>
    </row>
    <row r="28" spans="1:9" x14ac:dyDescent="0.25">
      <c r="A28" s="22"/>
      <c r="B28" s="26"/>
      <c r="C28" s="29"/>
      <c r="D28" s="28"/>
      <c r="E28" s="27"/>
      <c r="F28" s="28"/>
      <c r="G28" s="27"/>
      <c r="H28" s="28"/>
      <c r="I28" s="29"/>
    </row>
    <row r="29" spans="1:9" x14ac:dyDescent="0.25">
      <c r="A29" s="22"/>
      <c r="B29" s="26"/>
      <c r="C29" s="27"/>
      <c r="D29" s="28"/>
      <c r="E29" s="27"/>
      <c r="F29" s="28"/>
      <c r="G29" s="27"/>
      <c r="H29" s="28"/>
      <c r="I29" s="29"/>
    </row>
    <row r="30" spans="1:9" x14ac:dyDescent="0.25">
      <c r="A30" s="22"/>
      <c r="B30" s="26"/>
      <c r="C30" s="27"/>
      <c r="D30" s="28"/>
      <c r="E30" s="27"/>
      <c r="F30" s="28"/>
      <c r="G30" s="27"/>
      <c r="H30" s="28"/>
      <c r="I30" s="29"/>
    </row>
    <row r="31" spans="1:9" x14ac:dyDescent="0.25">
      <c r="A31" s="22"/>
      <c r="B31" s="26"/>
      <c r="C31" s="27"/>
      <c r="D31" s="28"/>
      <c r="E31" s="27"/>
      <c r="F31" s="28"/>
      <c r="G31" s="27"/>
      <c r="H31" s="28"/>
      <c r="I31" s="29"/>
    </row>
    <row r="32" spans="1:9" x14ac:dyDescent="0.25">
      <c r="A32" s="22"/>
      <c r="B32" s="26"/>
      <c r="C32" s="27"/>
      <c r="D32" s="28"/>
      <c r="E32" s="29"/>
      <c r="F32" s="28"/>
      <c r="G32" s="27"/>
      <c r="H32" s="28"/>
      <c r="I32" s="27"/>
    </row>
    <row r="33" spans="1:9" x14ac:dyDescent="0.25">
      <c r="A33" s="22"/>
      <c r="B33" s="26"/>
      <c r="C33" s="27"/>
      <c r="D33" s="26"/>
      <c r="E33" s="27"/>
      <c r="F33" s="28"/>
      <c r="G33" s="27"/>
      <c r="H33" s="28"/>
      <c r="I33" s="27"/>
    </row>
    <row r="34" spans="1:9" x14ac:dyDescent="0.25">
      <c r="A34" s="22"/>
      <c r="B34" s="26"/>
      <c r="C34" s="27"/>
      <c r="D34" s="26"/>
      <c r="E34" s="27"/>
      <c r="F34" s="28"/>
      <c r="G34" s="27"/>
      <c r="H34" s="28"/>
      <c r="I34" s="27"/>
    </row>
    <row r="35" spans="1:9" x14ac:dyDescent="0.25">
      <c r="A35" s="22"/>
      <c r="B35" s="26"/>
      <c r="C35" s="29"/>
      <c r="D35" s="28"/>
      <c r="E35" s="27"/>
      <c r="F35" s="28"/>
      <c r="G35" s="27"/>
      <c r="H35" s="28"/>
      <c r="I35" s="27"/>
    </row>
    <row r="36" spans="1:9" x14ac:dyDescent="0.25">
      <c r="A36" s="22"/>
      <c r="B36" s="26"/>
      <c r="C36" s="27"/>
      <c r="D36" s="28"/>
      <c r="E36" s="27"/>
      <c r="F36" s="28"/>
      <c r="G36" s="27"/>
      <c r="H36" s="28"/>
      <c r="I36" s="29"/>
    </row>
    <row r="37" spans="1:9" x14ac:dyDescent="0.25">
      <c r="A37" s="22"/>
      <c r="B37" s="26"/>
      <c r="C37" s="27"/>
      <c r="D37" s="28"/>
      <c r="E37" s="27"/>
      <c r="F37" s="28"/>
      <c r="G37" s="27"/>
      <c r="H37" s="26"/>
      <c r="I37" s="27"/>
    </row>
    <row r="38" spans="1:9" x14ac:dyDescent="0.25">
      <c r="A38" s="22"/>
      <c r="B38" s="26"/>
      <c r="C38" s="27"/>
      <c r="D38" s="28"/>
      <c r="E38" s="27"/>
      <c r="F38" s="28"/>
      <c r="G38" s="27"/>
      <c r="H38" s="28"/>
      <c r="I38" s="29"/>
    </row>
    <row r="39" spans="1:9" x14ac:dyDescent="0.25">
      <c r="A39" s="22"/>
      <c r="B39" s="26"/>
      <c r="C39" s="29"/>
      <c r="D39" s="28"/>
      <c r="E39" s="29"/>
      <c r="F39" s="28"/>
      <c r="G39" s="29"/>
      <c r="H39" s="28"/>
      <c r="I39" s="27"/>
    </row>
    <row r="40" spans="1:9" x14ac:dyDescent="0.25">
      <c r="A40" s="22"/>
      <c r="B40" s="26"/>
      <c r="C40" s="27"/>
      <c r="D40" s="26"/>
      <c r="E40" s="27"/>
      <c r="F40" s="28"/>
      <c r="G40" s="29"/>
      <c r="H40" s="28"/>
      <c r="I40" s="29"/>
    </row>
    <row r="41" spans="1:9" x14ac:dyDescent="0.25">
      <c r="A41" s="22"/>
      <c r="B41" s="26"/>
      <c r="C41" s="29"/>
      <c r="D41" s="28"/>
      <c r="E41" s="27"/>
      <c r="F41" s="28"/>
      <c r="G41" s="27"/>
      <c r="H41" s="28"/>
      <c r="I41" s="29"/>
    </row>
    <row r="42" spans="1:9" x14ac:dyDescent="0.25">
      <c r="A42" s="22"/>
      <c r="B42" s="26"/>
      <c r="C42" s="27"/>
      <c r="D42" s="28"/>
      <c r="E42" s="27"/>
      <c r="F42" s="28"/>
      <c r="G42" s="29"/>
      <c r="H42" s="28"/>
      <c r="I42" s="27"/>
    </row>
    <row r="43" spans="1:9" x14ac:dyDescent="0.25">
      <c r="A43" s="22"/>
      <c r="B43" s="26"/>
      <c r="C43" s="27"/>
      <c r="D43" s="28"/>
      <c r="E43" s="27"/>
      <c r="F43" s="28"/>
      <c r="G43" s="29"/>
      <c r="H43" s="28"/>
      <c r="I43" s="27"/>
    </row>
    <row r="44" spans="1:9" x14ac:dyDescent="0.25">
      <c r="A44" s="22"/>
      <c r="B44" s="26"/>
      <c r="C44" s="29"/>
      <c r="D44" s="28"/>
      <c r="E44" s="27"/>
      <c r="F44" s="28"/>
      <c r="G44" s="29"/>
      <c r="H44" s="28"/>
      <c r="I44" s="27"/>
    </row>
    <row r="45" spans="1:9" x14ac:dyDescent="0.25">
      <c r="A45" s="22"/>
      <c r="B45" s="28"/>
      <c r="C45" s="27"/>
      <c r="D45" s="28"/>
      <c r="E45" s="27"/>
      <c r="F45" s="28"/>
      <c r="G45" s="27"/>
      <c r="H45" s="28"/>
      <c r="I45" s="27"/>
    </row>
    <row r="46" spans="1:9" x14ac:dyDescent="0.25">
      <c r="A46" s="22"/>
      <c r="B46" s="26"/>
      <c r="C46" s="29"/>
      <c r="D46" s="28"/>
      <c r="E46" s="27"/>
      <c r="F46" s="28"/>
      <c r="G46" s="27"/>
      <c r="H46" s="28"/>
      <c r="I46" s="27"/>
    </row>
    <row r="47" spans="1:9" x14ac:dyDescent="0.25">
      <c r="A47" s="22"/>
      <c r="B47" s="26"/>
      <c r="C47" s="27"/>
      <c r="D47" s="28"/>
      <c r="E47" s="29"/>
      <c r="F47" s="28"/>
      <c r="G47" s="27"/>
      <c r="H47" s="28"/>
      <c r="I47" s="27"/>
    </row>
    <row r="48" spans="1:9" x14ac:dyDescent="0.25">
      <c r="A48" s="22"/>
      <c r="B48" s="26"/>
      <c r="C48" s="27"/>
      <c r="D48" s="28"/>
      <c r="E48" s="27"/>
      <c r="F48" s="28"/>
      <c r="G48" s="27"/>
      <c r="H48" s="28"/>
      <c r="I48" s="29"/>
    </row>
    <row r="49" spans="1:9" x14ac:dyDescent="0.25">
      <c r="A49" s="22"/>
      <c r="B49" s="26"/>
      <c r="C49" s="27"/>
      <c r="D49" s="28"/>
      <c r="E49" s="27"/>
      <c r="F49" s="28"/>
      <c r="G49" s="27"/>
      <c r="H49" s="28"/>
      <c r="I49" s="29"/>
    </row>
    <row r="50" spans="1:9" x14ac:dyDescent="0.25">
      <c r="A50" s="22"/>
      <c r="B50" s="26"/>
      <c r="C50" s="29"/>
      <c r="D50" s="28"/>
      <c r="E50" s="27"/>
      <c r="F50" s="28"/>
      <c r="G50" s="27"/>
      <c r="H50" s="28"/>
      <c r="I50" s="29"/>
    </row>
    <row r="51" spans="1:9" x14ac:dyDescent="0.25">
      <c r="A51" s="22"/>
      <c r="B51" s="26"/>
      <c r="C51" s="27"/>
      <c r="D51" s="28"/>
      <c r="E51" s="27"/>
      <c r="F51" s="28"/>
      <c r="G51" s="29"/>
      <c r="H51" s="28"/>
      <c r="I51" s="27"/>
    </row>
    <row r="52" spans="1:9" x14ac:dyDescent="0.25">
      <c r="A52" s="22"/>
      <c r="B52" s="26"/>
      <c r="C52" s="27"/>
      <c r="D52" s="28"/>
      <c r="E52" s="27"/>
      <c r="F52" s="28"/>
      <c r="G52" s="27"/>
      <c r="H52" s="28"/>
      <c r="I52" s="29"/>
    </row>
    <row r="53" spans="1:9" x14ac:dyDescent="0.25">
      <c r="A53" s="22"/>
      <c r="B53" s="26"/>
      <c r="C53" s="27"/>
      <c r="D53" s="28"/>
      <c r="E53" s="27"/>
      <c r="F53" s="28"/>
      <c r="G53" s="27"/>
      <c r="H53" s="28"/>
      <c r="I53" s="29"/>
    </row>
    <row r="54" spans="1:9" x14ac:dyDescent="0.25">
      <c r="A54" s="22"/>
      <c r="B54" s="26"/>
      <c r="C54" s="27"/>
      <c r="D54" s="28"/>
      <c r="E54" s="27"/>
      <c r="F54" s="28"/>
      <c r="G54" s="29"/>
      <c r="H54" s="28"/>
      <c r="I54" s="27"/>
    </row>
    <row r="55" spans="1:9" x14ac:dyDescent="0.25">
      <c r="A55" s="22"/>
      <c r="B55" s="26"/>
      <c r="C55" s="27"/>
      <c r="D55" s="28"/>
      <c r="E55" s="27"/>
      <c r="F55" s="28"/>
      <c r="G55" s="27"/>
      <c r="H55" s="28"/>
      <c r="I55" s="29"/>
    </row>
    <row r="56" spans="1:9" x14ac:dyDescent="0.25">
      <c r="A56" s="22"/>
      <c r="B56" s="26"/>
      <c r="C56" s="27"/>
      <c r="D56" s="26"/>
      <c r="E56" s="27"/>
      <c r="F56" s="28"/>
      <c r="G56" s="27"/>
      <c r="H56" s="28"/>
      <c r="I56" s="27"/>
    </row>
    <row r="57" spans="1:9" x14ac:dyDescent="0.25">
      <c r="A57" s="22"/>
      <c r="B57" s="28"/>
      <c r="C57" s="27"/>
      <c r="D57" s="28"/>
      <c r="E57" s="27"/>
      <c r="F57" s="28"/>
      <c r="G57" s="27"/>
      <c r="H57" s="28"/>
      <c r="I57" s="27"/>
    </row>
    <row r="58" spans="1:9" x14ac:dyDescent="0.25">
      <c r="A58" s="22"/>
      <c r="B58" s="26"/>
      <c r="C58" s="29"/>
      <c r="D58" s="28"/>
      <c r="E58" s="27"/>
      <c r="F58" s="28"/>
      <c r="G58" s="27"/>
      <c r="H58" s="28"/>
      <c r="I58" s="27"/>
    </row>
    <row r="59" spans="1:9" x14ac:dyDescent="0.25">
      <c r="A59" s="22"/>
      <c r="B59" s="26"/>
      <c r="C59" s="27"/>
      <c r="D59" s="26"/>
      <c r="E59" s="27"/>
      <c r="F59" s="28"/>
      <c r="G59" s="27"/>
      <c r="H59" s="28"/>
      <c r="I59" s="27"/>
    </row>
    <row r="60" spans="1:9" x14ac:dyDescent="0.25">
      <c r="A60" s="22"/>
      <c r="B60" s="26"/>
      <c r="C60" s="27"/>
      <c r="D60" s="28"/>
      <c r="E60" s="29"/>
      <c r="F60" s="28"/>
      <c r="G60" s="27"/>
      <c r="H60" s="28"/>
      <c r="I60" s="27"/>
    </row>
    <row r="61" spans="1:9" x14ac:dyDescent="0.25">
      <c r="A61" s="22"/>
      <c r="B61" s="26"/>
      <c r="C61" s="27"/>
      <c r="D61" s="28"/>
      <c r="E61" s="27"/>
      <c r="F61" s="26"/>
      <c r="G61" s="27"/>
      <c r="H61" s="28"/>
      <c r="I61" s="29"/>
    </row>
    <row r="62" spans="1:9" x14ac:dyDescent="0.25">
      <c r="A62" s="22"/>
      <c r="B62" s="26"/>
      <c r="C62" s="27"/>
      <c r="D62" s="28"/>
      <c r="E62" s="29"/>
      <c r="F62" s="28"/>
      <c r="G62" s="27"/>
      <c r="H62" s="28"/>
      <c r="I62" s="27"/>
    </row>
    <row r="63" spans="1:9" x14ac:dyDescent="0.25">
      <c r="A63" s="22"/>
      <c r="B63" s="26"/>
      <c r="C63" s="27"/>
      <c r="D63" s="28"/>
      <c r="E63" s="27"/>
      <c r="F63" s="28"/>
      <c r="G63" s="27"/>
      <c r="H63" s="28"/>
      <c r="I63" s="29"/>
    </row>
    <row r="64" spans="1:9" x14ac:dyDescent="0.25">
      <c r="A64" s="22"/>
      <c r="B64" s="26"/>
      <c r="C64" s="27"/>
      <c r="D64" s="28"/>
      <c r="E64" s="27"/>
      <c r="F64" s="28"/>
      <c r="G64" s="27"/>
      <c r="H64" s="28"/>
      <c r="I64" s="29"/>
    </row>
    <row r="65" spans="1:9" x14ac:dyDescent="0.25">
      <c r="A65" s="22"/>
      <c r="B65" s="26"/>
      <c r="C65" s="27"/>
      <c r="D65" s="28"/>
      <c r="E65" s="27"/>
      <c r="F65" s="28"/>
      <c r="G65" s="27"/>
      <c r="H65" s="28"/>
      <c r="I65" s="29"/>
    </row>
    <row r="66" spans="1:9" x14ac:dyDescent="0.25">
      <c r="A66" s="22"/>
      <c r="B66" s="26"/>
      <c r="C66" s="27"/>
      <c r="D66" s="28"/>
      <c r="E66" s="27"/>
      <c r="F66" s="28"/>
      <c r="G66" s="29"/>
      <c r="H66" s="28"/>
      <c r="I66" s="27"/>
    </row>
    <row r="67" spans="1:9" x14ac:dyDescent="0.25">
      <c r="A67" s="22"/>
      <c r="B67" s="26"/>
      <c r="C67" s="27"/>
      <c r="D67" s="28"/>
      <c r="E67" s="27"/>
      <c r="F67" s="28"/>
      <c r="G67" s="27"/>
      <c r="H67" s="28"/>
      <c r="I67" s="29"/>
    </row>
    <row r="68" spans="1:9" x14ac:dyDescent="0.25">
      <c r="A68" s="22"/>
      <c r="B68" s="26"/>
      <c r="C68" s="27"/>
      <c r="D68" s="28"/>
      <c r="E68" s="29"/>
      <c r="F68" s="28"/>
      <c r="G68" s="27"/>
      <c r="H68" s="28"/>
      <c r="I68" s="27"/>
    </row>
    <row r="69" spans="1:9" x14ac:dyDescent="0.25">
      <c r="A69" s="22"/>
      <c r="B69" s="26"/>
      <c r="C69" s="27"/>
      <c r="D69" s="28"/>
      <c r="E69" s="29"/>
      <c r="F69" s="28"/>
      <c r="G69" s="27"/>
      <c r="H69" s="28"/>
      <c r="I69" s="27"/>
    </row>
    <row r="70" spans="1:9" x14ac:dyDescent="0.25">
      <c r="A70" s="22"/>
      <c r="B70" s="26"/>
      <c r="C70" s="27"/>
      <c r="D70" s="28"/>
      <c r="E70" s="27"/>
      <c r="F70" s="28"/>
      <c r="G70" s="27"/>
      <c r="H70" s="28"/>
      <c r="I70" s="29"/>
    </row>
    <row r="71" spans="1:9" x14ac:dyDescent="0.25">
      <c r="A71" s="22"/>
      <c r="B71" s="26"/>
      <c r="C71" s="27"/>
      <c r="D71" s="28"/>
      <c r="E71" s="27"/>
      <c r="F71" s="28"/>
      <c r="G71" s="27"/>
      <c r="H71" s="28"/>
      <c r="I71" s="29"/>
    </row>
    <row r="72" spans="1:9" x14ac:dyDescent="0.25">
      <c r="A72" s="22"/>
      <c r="B72" s="26"/>
      <c r="C72" s="27"/>
      <c r="D72" s="28"/>
      <c r="E72" s="27"/>
      <c r="F72" s="28"/>
      <c r="G72" s="27"/>
      <c r="H72" s="28"/>
      <c r="I72" s="29"/>
    </row>
    <row r="73" spans="1:9" x14ac:dyDescent="0.25">
      <c r="A73" s="22"/>
      <c r="B73" s="26"/>
      <c r="C73" s="27"/>
      <c r="D73" s="28"/>
      <c r="E73" s="27"/>
      <c r="F73" s="28"/>
      <c r="G73" s="29"/>
      <c r="H73" s="28"/>
      <c r="I73" s="29"/>
    </row>
    <row r="74" spans="1:9" x14ac:dyDescent="0.25">
      <c r="A74" s="22"/>
      <c r="B74" s="26"/>
      <c r="C74" s="27"/>
      <c r="D74" s="28"/>
      <c r="E74" s="27"/>
      <c r="F74" s="28"/>
      <c r="G74" s="27"/>
      <c r="H74" s="28"/>
      <c r="I74" s="29"/>
    </row>
    <row r="75" spans="1:9" x14ac:dyDescent="0.25">
      <c r="A75" s="22"/>
      <c r="B75" s="26"/>
      <c r="C75" s="27"/>
      <c r="D75" s="28"/>
      <c r="E75" s="27"/>
      <c r="F75" s="28"/>
      <c r="G75" s="29"/>
      <c r="H75" s="28"/>
      <c r="I75" s="27"/>
    </row>
    <row r="76" spans="1:9" x14ac:dyDescent="0.25">
      <c r="A76" s="22"/>
      <c r="B76" s="26"/>
      <c r="C76" s="27"/>
      <c r="D76" s="28"/>
      <c r="E76" s="27"/>
      <c r="F76" s="28"/>
      <c r="G76" s="27"/>
      <c r="H76" s="28"/>
      <c r="I76" s="29"/>
    </row>
    <row r="77" spans="1:9" x14ac:dyDescent="0.25">
      <c r="A77" s="22"/>
      <c r="B77" s="26"/>
      <c r="C77" s="29"/>
      <c r="D77" s="28"/>
      <c r="E77" s="29"/>
      <c r="F77" s="28"/>
      <c r="G77" s="27"/>
      <c r="H77" s="28"/>
      <c r="I77" s="29"/>
    </row>
    <row r="78" spans="1:9" x14ac:dyDescent="0.25">
      <c r="A78" s="22"/>
      <c r="B78" s="26"/>
      <c r="C78" s="27"/>
      <c r="D78" s="28"/>
      <c r="E78" s="27"/>
      <c r="F78" s="28"/>
      <c r="G78" s="27"/>
      <c r="H78" s="28"/>
      <c r="I78" s="29"/>
    </row>
    <row r="79" spans="1:9" x14ac:dyDescent="0.25">
      <c r="A79" s="22"/>
      <c r="B79" s="26"/>
      <c r="C79" s="27"/>
      <c r="D79" s="28"/>
      <c r="E79" s="27"/>
      <c r="F79" s="28"/>
      <c r="G79" s="27"/>
      <c r="H79" s="28"/>
      <c r="I79" s="29"/>
    </row>
    <row r="80" spans="1:9" x14ac:dyDescent="0.25">
      <c r="A80" s="22"/>
      <c r="B80" s="26"/>
      <c r="C80" s="27"/>
      <c r="D80" s="28"/>
      <c r="E80" s="27"/>
      <c r="F80" s="28"/>
      <c r="G80" s="27"/>
      <c r="H80" s="28"/>
      <c r="I80" s="29"/>
    </row>
    <row r="81" spans="1:9" x14ac:dyDescent="0.25">
      <c r="A81" s="22"/>
      <c r="B81" s="26"/>
      <c r="C81" s="27"/>
      <c r="D81" s="28"/>
      <c r="E81" s="27"/>
      <c r="F81" s="28"/>
      <c r="G81" s="27"/>
      <c r="H81" s="28"/>
      <c r="I81" s="29"/>
    </row>
    <row r="82" spans="1:9" x14ac:dyDescent="0.25">
      <c r="A82" s="22"/>
      <c r="B82" s="26"/>
      <c r="C82" s="27"/>
      <c r="D82" s="28"/>
      <c r="E82" s="27"/>
      <c r="F82" s="28"/>
      <c r="G82" s="27"/>
      <c r="H82" s="28"/>
      <c r="I82" s="29"/>
    </row>
    <row r="83" spans="1:9" x14ac:dyDescent="0.25">
      <c r="A83" s="22"/>
      <c r="B83" s="26"/>
      <c r="C83" s="27"/>
      <c r="D83" s="28"/>
      <c r="E83" s="27"/>
      <c r="F83" s="28"/>
      <c r="G83" s="27"/>
      <c r="H83" s="28"/>
      <c r="I83" s="29"/>
    </row>
    <row r="84" spans="1:9" x14ac:dyDescent="0.25">
      <c r="A84" s="22"/>
      <c r="B84" s="26"/>
      <c r="C84" s="27"/>
      <c r="D84" s="28"/>
      <c r="E84" s="27"/>
      <c r="F84" s="28"/>
      <c r="G84" s="27"/>
      <c r="H84" s="28"/>
      <c r="I84" s="29"/>
    </row>
    <row r="85" spans="1:9" x14ac:dyDescent="0.25">
      <c r="A85" s="22"/>
      <c r="B85" s="26"/>
      <c r="C85" s="27"/>
      <c r="D85" s="28"/>
      <c r="E85" s="27"/>
      <c r="F85" s="28"/>
      <c r="G85" s="27"/>
      <c r="H85" s="28"/>
      <c r="I85" s="29"/>
    </row>
    <row r="86" spans="1:9" x14ac:dyDescent="0.25">
      <c r="A86" s="22"/>
      <c r="B86" s="26"/>
      <c r="C86" s="27"/>
      <c r="D86" s="28"/>
      <c r="E86" s="29"/>
      <c r="F86" s="28"/>
      <c r="G86" s="27"/>
      <c r="H86" s="28"/>
      <c r="I86" s="27"/>
    </row>
    <row r="87" spans="1:9" x14ac:dyDescent="0.25">
      <c r="A87" s="22"/>
      <c r="B87" s="26"/>
      <c r="C87" s="29"/>
      <c r="D87" s="28"/>
      <c r="E87" s="27"/>
      <c r="F87" s="26"/>
      <c r="G87" s="27"/>
      <c r="H87" s="28"/>
      <c r="I87" s="27"/>
    </row>
    <row r="88" spans="1:9" x14ac:dyDescent="0.25">
      <c r="A88" s="22"/>
      <c r="B88" s="26"/>
      <c r="C88" s="29"/>
      <c r="D88" s="26"/>
      <c r="E88" s="29"/>
      <c r="F88" s="28"/>
      <c r="G88" s="27"/>
      <c r="H88" s="28"/>
      <c r="I88" s="27"/>
    </row>
    <row r="89" spans="1:9" x14ac:dyDescent="0.25">
      <c r="A89" s="22"/>
      <c r="B89" s="26"/>
      <c r="C89" s="27"/>
      <c r="D89" s="28"/>
      <c r="E89" s="27"/>
      <c r="F89" s="28"/>
      <c r="G89" s="27"/>
      <c r="H89" s="28"/>
      <c r="I89" s="29"/>
    </row>
    <row r="90" spans="1:9" x14ac:dyDescent="0.25">
      <c r="A90" s="22"/>
      <c r="B90" s="26"/>
      <c r="C90" s="27"/>
      <c r="D90" s="28"/>
      <c r="E90" s="27"/>
      <c r="F90" s="28"/>
      <c r="G90" s="27"/>
      <c r="H90" s="26"/>
      <c r="I90" s="27"/>
    </row>
    <row r="91" spans="1:9" x14ac:dyDescent="0.25">
      <c r="A91" s="22"/>
      <c r="B91" s="26"/>
      <c r="C91" s="27"/>
      <c r="D91" s="28"/>
      <c r="E91" s="27"/>
      <c r="F91" s="28"/>
      <c r="G91" s="27"/>
      <c r="H91" s="28"/>
      <c r="I91" s="29"/>
    </row>
    <row r="92" spans="1:9" x14ac:dyDescent="0.25">
      <c r="A92" s="22"/>
      <c r="B92" s="26"/>
      <c r="C92" s="27"/>
      <c r="D92" s="28"/>
      <c r="E92" s="27"/>
      <c r="F92" s="28"/>
      <c r="G92" s="27"/>
      <c r="H92" s="26"/>
      <c r="I92" s="27"/>
    </row>
    <row r="93" spans="1:9" x14ac:dyDescent="0.25">
      <c r="A93" s="22"/>
      <c r="B93" s="26"/>
      <c r="C93" s="27"/>
      <c r="D93" s="28"/>
      <c r="E93" s="27"/>
      <c r="F93" s="28"/>
      <c r="G93" s="27"/>
      <c r="H93" s="26"/>
      <c r="I93" s="27"/>
    </row>
    <row r="94" spans="1:9" x14ac:dyDescent="0.25">
      <c r="A94" s="22"/>
      <c r="B94" s="26"/>
      <c r="C94" s="27"/>
      <c r="D94" s="28"/>
      <c r="E94" s="27"/>
      <c r="F94" s="26"/>
      <c r="G94" s="27"/>
      <c r="H94" s="28"/>
      <c r="I94" s="29"/>
    </row>
    <row r="95" spans="1:9" x14ac:dyDescent="0.25">
      <c r="A95" s="22"/>
      <c r="B95" s="26"/>
      <c r="C95" s="27"/>
      <c r="D95" s="28"/>
      <c r="E95" s="27"/>
      <c r="F95" s="28"/>
      <c r="G95" s="27"/>
      <c r="H95" s="28"/>
      <c r="I95" s="29"/>
    </row>
    <row r="96" spans="1:9" x14ac:dyDescent="0.25">
      <c r="A96" s="30"/>
      <c r="B96" s="31"/>
      <c r="C96" s="32"/>
      <c r="D96" s="31"/>
      <c r="E96" s="32"/>
      <c r="F96" s="31"/>
      <c r="G96" s="32"/>
      <c r="H96" s="31"/>
      <c r="I96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 Ishan</dc:creator>
  <cp:lastModifiedBy>TG Ishan</cp:lastModifiedBy>
  <dcterms:created xsi:type="dcterms:W3CDTF">2026-05-11T09:33:06Z</dcterms:created>
  <dcterms:modified xsi:type="dcterms:W3CDTF">2026-08-21T06:33:05Z</dcterms:modified>
</cp:coreProperties>
</file>