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CE SGRG DATA\"/>
    </mc:Choice>
  </mc:AlternateContent>
  <xr:revisionPtr revIDLastSave="0" documentId="8_{135A8107-BBC6-4B9C-B53B-6D94871B8141}" xr6:coauthVersionLast="47" xr6:coauthVersionMax="47" xr10:uidLastSave="{00000000-0000-0000-0000-000000000000}"/>
  <bookViews>
    <workbookView xWindow="-120" yWindow="-120" windowWidth="29040" windowHeight="15720" xr2:uid="{F1A391DB-5AF7-434B-8C66-67B0A0EB6B04}"/>
  </bookViews>
  <sheets>
    <sheet name="Sheet1" sheetId="1" r:id="rId1"/>
    <sheet name="Sheet2" sheetId="2" r:id="rId2"/>
  </sheets>
  <definedNames>
    <definedName name="_xlnm._FilterDatabase" localSheetId="0" hidden="1">Sheet1!$A$3:$M$232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" i="1" l="1"/>
  <c r="I2" i="1" l="1"/>
  <c r="C2" i="1"/>
  <c r="L2" i="1" l="1"/>
  <c r="G2" i="1"/>
  <c r="K2" i="1"/>
  <c r="F2" i="1"/>
  <c r="E2" i="1"/>
  <c r="D2" i="1"/>
  <c r="H2" i="1"/>
  <c r="M2" i="1"/>
  <c r="J2" i="1"/>
</calcChain>
</file>

<file path=xl/sharedStrings.xml><?xml version="1.0" encoding="utf-8"?>
<sst xmlns="http://schemas.openxmlformats.org/spreadsheetml/2006/main" count="1160" uniqueCount="572">
  <si>
    <t>Date-:</t>
  </si>
  <si>
    <t>Total</t>
  </si>
  <si>
    <t>DMS Code</t>
  </si>
  <si>
    <t>OUTLET_NAME</t>
  </si>
  <si>
    <t>FOS_Name</t>
  </si>
  <si>
    <t>MARKET_OS</t>
  </si>
  <si>
    <t>(&lt; 15 days )</t>
  </si>
  <si>
    <t>15 to 30 days</t>
  </si>
  <si>
    <t>Abhishek Electronics</t>
  </si>
  <si>
    <t>Amit Electronics &amp; Mobile Co. (Usha)</t>
  </si>
  <si>
    <t>Anil Electronics</t>
  </si>
  <si>
    <t>Arohi Electronics</t>
  </si>
  <si>
    <t>Baba Sons</t>
  </si>
  <si>
    <t>Balaji Udyog</t>
  </si>
  <si>
    <t>Bhadauriya Electronics (USHA)</t>
  </si>
  <si>
    <t>Chaturbhuj Baba Traders</t>
  </si>
  <si>
    <t>Chaurasia Electronics (USHA)</t>
  </si>
  <si>
    <t>Dwivedi Enterprises</t>
  </si>
  <si>
    <t>Ganesh Electronics</t>
  </si>
  <si>
    <t>Gaurav Battery &amp; Inverter (Usha)</t>
  </si>
  <si>
    <t>Gaurav Juhi</t>
  </si>
  <si>
    <t>Gun Gun Electronics</t>
  </si>
  <si>
    <t>Gupta Enterprises</t>
  </si>
  <si>
    <t>Hari Om Electricals</t>
  </si>
  <si>
    <t>Hariom Ev Energy (Usha)</t>
  </si>
  <si>
    <t>Himanshu Electronic Gallery</t>
  </si>
  <si>
    <t>Jagdamba Electronic</t>
  </si>
  <si>
    <t>Jagdish Furniture &amp; Electronics</t>
  </si>
  <si>
    <t>Jay Maa Santoshi Rura</t>
  </si>
  <si>
    <t>Kaleem Furniture and Electronics</t>
  </si>
  <si>
    <t>Krishna Traders</t>
  </si>
  <si>
    <t>Mahesh Telecom &amp; Electronics</t>
  </si>
  <si>
    <t>Mangal Enterprises</t>
  </si>
  <si>
    <t>Minakshi Traders</t>
  </si>
  <si>
    <t>Mohan Home Appliances</t>
  </si>
  <si>
    <t>Mr Sam Electricals</t>
  </si>
  <si>
    <t>M/S NEW ASHA ELECTRICAL CO.</t>
  </si>
  <si>
    <t>M/s New Awasthi Radio &amp; Watch Co.</t>
  </si>
  <si>
    <t>M/s New Family Shop</t>
  </si>
  <si>
    <t>Naman Traders</t>
  </si>
  <si>
    <t>New Faiz Electronics</t>
  </si>
  <si>
    <t>New Jagdish Brothers</t>
  </si>
  <si>
    <t>New Megna Sales</t>
  </si>
  <si>
    <t>New Pathak T.V. &amp; Electronics</t>
  </si>
  <si>
    <t>New Rajesh Electronics</t>
  </si>
  <si>
    <t>New Saurabh Electronics</t>
  </si>
  <si>
    <t>New Shanker Electornic</t>
  </si>
  <si>
    <t>Prisha Enterprises (USHA)</t>
  </si>
  <si>
    <t>Purnima Enterprises</t>
  </si>
  <si>
    <t>Radhey Electrical  (USHA)</t>
  </si>
  <si>
    <t>Rajan Enterprises</t>
  </si>
  <si>
    <t>Rajput Electronics</t>
  </si>
  <si>
    <t>RAMA ELECTRONICS</t>
  </si>
  <si>
    <t>Ranjana Agencies</t>
  </si>
  <si>
    <t>RAZA ELECTRONICS (USHA)</t>
  </si>
  <si>
    <t>Rs Tech Enterprises(USHA)</t>
  </si>
  <si>
    <t>Sakshi Battery &amp; Electronics, (Derapur), Usha</t>
  </si>
  <si>
    <t>Sharma Brothers</t>
  </si>
  <si>
    <t>Shivay Electronics</t>
  </si>
  <si>
    <t>Shree Bhadoauriya Electronics (USHA)</t>
  </si>
  <si>
    <t>Shri Radhe Electronics and Electricals</t>
  </si>
  <si>
    <t>Siddiki Electronics &amp; Solar Solutions</t>
  </si>
  <si>
    <t>Vanshika Electronics (Nabipur) Usha</t>
  </si>
  <si>
    <t>Vinay Electronics</t>
  </si>
  <si>
    <t>Yuvraj Electronics &amp; Sports</t>
  </si>
  <si>
    <t>Anandeshwar Electronics</t>
  </si>
  <si>
    <t>Ashish Electricals</t>
  </si>
  <si>
    <t>ASHUTOSH PANDEY (GHATAMPUR) GOLU A.B</t>
  </si>
  <si>
    <t>Baba Electronics $ Electricals</t>
  </si>
  <si>
    <t>B.D.Appliances</t>
  </si>
  <si>
    <t>Chaurasiya Sale Center</t>
  </si>
  <si>
    <t>Family Handloom</t>
  </si>
  <si>
    <t>Harsh Electronic</t>
  </si>
  <si>
    <t>Kushwaha Sales</t>
  </si>
  <si>
    <t>Maa Pitambara T.V. Agencies</t>
  </si>
  <si>
    <t>Mauli Bartan Bhandar</t>
  </si>
  <si>
    <t>Mobile Marvel</t>
  </si>
  <si>
    <t>M/S  KUSHWAHA ELECTRONICS AND FURNITURE</t>
  </si>
  <si>
    <t>M/s Ravi Electronics and Saur Uraja Kendra</t>
  </si>
  <si>
    <t>M/s Satguru Sales</t>
  </si>
  <si>
    <t>New L M Appliances</t>
  </si>
  <si>
    <t>New Swami Electroworld</t>
  </si>
  <si>
    <t>Noor Enterprises</t>
  </si>
  <si>
    <t>Om Electronics (Usha)</t>
  </si>
  <si>
    <t>Pappu Electricals</t>
  </si>
  <si>
    <t>Priya Electric</t>
  </si>
  <si>
    <t>Riddhi Electricals</t>
  </si>
  <si>
    <t>Sachan Electricals</t>
  </si>
  <si>
    <t>Sahil Gautam</t>
  </si>
  <si>
    <t>Sanvi Enterprises</t>
  </si>
  <si>
    <t>Satyam Electronics and Mobile Shop</t>
  </si>
  <si>
    <t>Shashank Electricals</t>
  </si>
  <si>
    <t>Shree Ganesh Electronics and Electricals (Bidhnu)</t>
  </si>
  <si>
    <t>Singh Furnitures and Gadda House</t>
  </si>
  <si>
    <t>Sky Electronics &amp; Home Appliances</t>
  </si>
  <si>
    <t>Sri Kamta Nath Bartan</t>
  </si>
  <si>
    <t>S S Cooling (Ghatampur)</t>
  </si>
  <si>
    <t>SUDHIR ELECTRONICS &amp; ELECTRIC</t>
  </si>
  <si>
    <t>Sunil Kumar Anil Kumar Plyco and Furniture</t>
  </si>
  <si>
    <t>TAPASVI ENTERPRISES</t>
  </si>
  <si>
    <t>Vishwanath  Bartan Bhandar</t>
  </si>
  <si>
    <t>Z1 Electronics</t>
  </si>
  <si>
    <t>Arihant Electricals</t>
  </si>
  <si>
    <t>Batham Electricals &amp; Hardware</t>
  </si>
  <si>
    <t>Future Electronics</t>
  </si>
  <si>
    <t>Gupta Electricals and Appliances</t>
  </si>
  <si>
    <t>Guru Kripa Sales and Marketing</t>
  </si>
  <si>
    <t>Jai Bala Ji Electronics</t>
  </si>
  <si>
    <t>Kanhaiya Electricals</t>
  </si>
  <si>
    <t>Mishra Electrical</t>
  </si>
  <si>
    <t>Mohit Cellmart (Usha)</t>
  </si>
  <si>
    <t>M/s Jai Maa Home Goods Center</t>
  </si>
  <si>
    <t>New Sri Komal Electronics</t>
  </si>
  <si>
    <t>Nishtha Electrical</t>
  </si>
  <si>
    <t>Pari Electronics</t>
  </si>
  <si>
    <t>R.K Electronics (Usha)</t>
  </si>
  <si>
    <t>Roli Electronics</t>
  </si>
  <si>
    <t>Sanjay Electronics (Singhpur)</t>
  </si>
  <si>
    <t>Shivam Enterprises</t>
  </si>
  <si>
    <t>Shivani Electricals</t>
  </si>
  <si>
    <t>Shri Balaji Electricals</t>
  </si>
  <si>
    <t>Shyam Electrical Company &amp; U D Traders</t>
  </si>
  <si>
    <t>Shyam Electricals</t>
  </si>
  <si>
    <t>Shyam Electricals (Shubham Sharma)</t>
  </si>
  <si>
    <t>Singh Traders (Moti Mohal)</t>
  </si>
  <si>
    <t>Sri Shyam Electricals</t>
  </si>
  <si>
    <t>Vinayak Electricals</t>
  </si>
  <si>
    <t>Anurag Electronices</t>
  </si>
  <si>
    <t>Atul Kumar Rathaur ( I TELECOME)</t>
  </si>
  <si>
    <t>Deep Enterprises</t>
  </si>
  <si>
    <t>Fairdeal  Electronics</t>
  </si>
  <si>
    <t>Govind Agency</t>
  </si>
  <si>
    <t>G S ELECTROWORLD</t>
  </si>
  <si>
    <t>G.S. Marketing</t>
  </si>
  <si>
    <t>Jugla Enterprises</t>
  </si>
  <si>
    <t>Kanpur Cooling Services Private Limited</t>
  </si>
  <si>
    <t>Mobi Infotech</t>
  </si>
  <si>
    <t>M/s Deep Electronics</t>
  </si>
  <si>
    <t>M/s  Krishna Furniture and Electronics</t>
  </si>
  <si>
    <t>M/s R S Enterprises</t>
  </si>
  <si>
    <t>Om Sai Electronics</t>
  </si>
  <si>
    <t>Omson Electronics</t>
  </si>
  <si>
    <t>Pardesi Marketing</t>
  </si>
  <si>
    <t>Porwal Electronics</t>
  </si>
  <si>
    <t>Sanjay Electronics</t>
  </si>
  <si>
    <t>Sapna T V Agencies</t>
  </si>
  <si>
    <t>Shri Bhramdeo Enterprises</t>
  </si>
  <si>
    <t>Shri Thakur Electronics</t>
  </si>
  <si>
    <t>SHUKLA SALES(S.S)</t>
  </si>
  <si>
    <t>Singh Electronics (Keshav Nagar)</t>
  </si>
  <si>
    <t>Spectra World</t>
  </si>
  <si>
    <t>Sri New Bhagwati Telecom (Usha)</t>
  </si>
  <si>
    <t>The Electronic Shop</t>
  </si>
  <si>
    <t>Tomar Infotech &amp; Mobile World</t>
  </si>
  <si>
    <t>Uma Sales</t>
  </si>
  <si>
    <t>Vohra Electricals</t>
  </si>
  <si>
    <t>Aaradhya Electricals</t>
  </si>
  <si>
    <t>Bhatiya Electricals</t>
  </si>
  <si>
    <t>C B Kushwaha Electricals Store</t>
  </si>
  <si>
    <t>Chandel Electronics</t>
  </si>
  <si>
    <t>Deepu Kumar  (Rajendra &amp; Co.)</t>
  </si>
  <si>
    <t>DEVENDER SINGH</t>
  </si>
  <si>
    <t>Gaurav Agencies</t>
  </si>
  <si>
    <t>Jai Shiv Electronics</t>
  </si>
  <si>
    <t>Kanchanda Electronic Furniture and Marketers</t>
  </si>
  <si>
    <t>Khalsa Watch &amp; Electricals</t>
  </si>
  <si>
    <t>Krishna Enterprises TATIYAGANJ (USHA)</t>
  </si>
  <si>
    <t>Kumar Electronics</t>
  </si>
  <si>
    <t>M/s Akash Elctronic</t>
  </si>
  <si>
    <t>New Akrity Electricals</t>
  </si>
  <si>
    <t>New Ganesh Electronics</t>
  </si>
  <si>
    <t>Prakash &amp; Sons</t>
  </si>
  <si>
    <t>Shree Gajanan  Electronics</t>
  </si>
  <si>
    <t>Shri Balaji Agencies</t>
  </si>
  <si>
    <t>Surendra Kumar</t>
  </si>
  <si>
    <t>Vig Boss Enterprises</t>
  </si>
  <si>
    <t>VIJAY TIWARI</t>
  </si>
  <si>
    <t>VINEET DUBEY</t>
  </si>
  <si>
    <t>ADARSH SRIVASTWA</t>
  </si>
  <si>
    <t>Devta Din</t>
  </si>
  <si>
    <t>Kavya Mobile Shop</t>
  </si>
  <si>
    <t>Krishna Furniture and Sales(USHA)</t>
  </si>
  <si>
    <t>Krishna Prasad</t>
  </si>
  <si>
    <t>M/s  Ram Ji Traders</t>
  </si>
  <si>
    <t>M/s  Supreme Home Products</t>
  </si>
  <si>
    <t>Sandeep Jha</t>
  </si>
  <si>
    <t>Sandhya Gupta</t>
  </si>
  <si>
    <t>Sumit Kumar</t>
  </si>
  <si>
    <t>Surendra Tiwari Office</t>
  </si>
  <si>
    <t>Umesh Chaudhary</t>
  </si>
  <si>
    <t>Vimal Kushwaha (Office Driver)</t>
  </si>
  <si>
    <t>SGRGUS287</t>
  </si>
  <si>
    <t>SGRGUS295</t>
  </si>
  <si>
    <t>SGRGUS303</t>
  </si>
  <si>
    <t>SGRGUS311</t>
  </si>
  <si>
    <t>SGRGUS319</t>
  </si>
  <si>
    <t>SGRGUS327</t>
  </si>
  <si>
    <t>SGRGUS335</t>
  </si>
  <si>
    <t>SGRGUS343</t>
  </si>
  <si>
    <t>SGRGUS351</t>
  </si>
  <si>
    <t>SGRGUS359</t>
  </si>
  <si>
    <t>SGRGUS367</t>
  </si>
  <si>
    <t>SGRGUS375</t>
  </si>
  <si>
    <t>SGRGUS383</t>
  </si>
  <si>
    <t>SGRGUS391</t>
  </si>
  <si>
    <t>SGRGUS399</t>
  </si>
  <si>
    <t>SGRGUS407</t>
  </si>
  <si>
    <t>SGRGUS415</t>
  </si>
  <si>
    <t>SGRGUS423</t>
  </si>
  <si>
    <t>SGRGUS431</t>
  </si>
  <si>
    <t>SGRGUS439</t>
  </si>
  <si>
    <t>SGRGUS447</t>
  </si>
  <si>
    <t>SGRGUS455</t>
  </si>
  <si>
    <t>SGRGUS463</t>
  </si>
  <si>
    <t>SGRGUS471</t>
  </si>
  <si>
    <t>SGRGUS479</t>
  </si>
  <si>
    <t>SGRGUS487</t>
  </si>
  <si>
    <t>SGRGUS495</t>
  </si>
  <si>
    <t>SGRGUS503</t>
  </si>
  <si>
    <t>SGRGUS511</t>
  </si>
  <si>
    <t>SGRGUS519</t>
  </si>
  <si>
    <t>SGRGUS527</t>
  </si>
  <si>
    <t>SGRGUS535</t>
  </si>
  <si>
    <t>SGRGUS543</t>
  </si>
  <si>
    <t>SGRGUS551</t>
  </si>
  <si>
    <t>SGRGUS559</t>
  </si>
  <si>
    <t>SGRGUS567</t>
  </si>
  <si>
    <t>SGRGUS575</t>
  </si>
  <si>
    <t>SGRGUS583</t>
  </si>
  <si>
    <t>SGRGUS591</t>
  </si>
  <si>
    <t>SGRGUS599</t>
  </si>
  <si>
    <t>SGRGUS607</t>
  </si>
  <si>
    <t>SGRGUS615</t>
  </si>
  <si>
    <t>SGRGUS623</t>
  </si>
  <si>
    <t>SGRGUS631</t>
  </si>
  <si>
    <t>SGRGUS639</t>
  </si>
  <si>
    <t>SGRGUS647</t>
  </si>
  <si>
    <t>SGRGUS655</t>
  </si>
  <si>
    <t>SGRGUS663</t>
  </si>
  <si>
    <t>SGRGUS671</t>
  </si>
  <si>
    <t>SGRGUS679</t>
  </si>
  <si>
    <t>SGRGUS687</t>
  </si>
  <si>
    <t>SGRGUS695</t>
  </si>
  <si>
    <t>SGRGUS703</t>
  </si>
  <si>
    <t>SGRGUS711</t>
  </si>
  <si>
    <t>SGRGUS719</t>
  </si>
  <si>
    <t>SGRGUS727</t>
  </si>
  <si>
    <t>SGRGUS735</t>
  </si>
  <si>
    <t>SGRGUS743</t>
  </si>
  <si>
    <t>SGRGUS751</t>
  </si>
  <si>
    <t>SGRGUS759</t>
  </si>
  <si>
    <t>SGRGUS767</t>
  </si>
  <si>
    <t>SGRGUS775</t>
  </si>
  <si>
    <t>SGRGUS783</t>
  </si>
  <si>
    <t>SGRGUS791</t>
  </si>
  <si>
    <t>SGRGUS799</t>
  </si>
  <si>
    <t>SGRGUS807</t>
  </si>
  <si>
    <t>SGRGUS815</t>
  </si>
  <si>
    <t>SGRGUS823</t>
  </si>
  <si>
    <t>SGRGUS831</t>
  </si>
  <si>
    <t>SGRGUS839</t>
  </si>
  <si>
    <t>SGRGUS847</t>
  </si>
  <si>
    <t>SGRGUS855</t>
  </si>
  <si>
    <t>SGRGUS863</t>
  </si>
  <si>
    <t>SGRGUS871</t>
  </si>
  <si>
    <t>SGRGUS879</t>
  </si>
  <si>
    <t>SGRGUS887</t>
  </si>
  <si>
    <t>SGRGUS895</t>
  </si>
  <si>
    <t>SGRGUS903</t>
  </si>
  <si>
    <t>SGRGUS911</t>
  </si>
  <si>
    <t>SGRGUS919</t>
  </si>
  <si>
    <t>SGRGUS927</t>
  </si>
  <si>
    <t>SGRGUS935</t>
  </si>
  <si>
    <t>SGRGUS943</t>
  </si>
  <si>
    <t>SGRGUS951</t>
  </si>
  <si>
    <t>SGRGUS959</t>
  </si>
  <si>
    <t>SGRGUS967</t>
  </si>
  <si>
    <t>SGRGUS975</t>
  </si>
  <si>
    <t>SGRGUS983</t>
  </si>
  <si>
    <t>SGRGUS991</t>
  </si>
  <si>
    <t>SGRGUS999</t>
  </si>
  <si>
    <t>SGRGUS1007</t>
  </si>
  <si>
    <t>SGRGUS1015</t>
  </si>
  <si>
    <t>SGRGUS1031</t>
  </si>
  <si>
    <t>SGRGUS1039</t>
  </si>
  <si>
    <t>SGRGUS1047</t>
  </si>
  <si>
    <t>SGRGUS1055</t>
  </si>
  <si>
    <t>SGRGUS1063</t>
  </si>
  <si>
    <t>SGRGUS1071</t>
  </si>
  <si>
    <t>SGRGUS1079</t>
  </si>
  <si>
    <t>SGRGUS1087</t>
  </si>
  <si>
    <t>SGRGUS1095</t>
  </si>
  <si>
    <t>SGRGUS1103</t>
  </si>
  <si>
    <t>SGRGUS1111</t>
  </si>
  <si>
    <t>SGRGUS1119</t>
  </si>
  <si>
    <t>SGRGUS1127</t>
  </si>
  <si>
    <t>SGRGUS1135</t>
  </si>
  <si>
    <t>SGRGUS1143</t>
  </si>
  <si>
    <t>SGRGUS1151</t>
  </si>
  <si>
    <t>SGRGUS1159</t>
  </si>
  <si>
    <t>SGRGUS1167</t>
  </si>
  <si>
    <t>SGRGUS1175</t>
  </si>
  <si>
    <t>SGRGUS1183</t>
  </si>
  <si>
    <t>SGRGUS1191</t>
  </si>
  <si>
    <t>SGRGUS1199</t>
  </si>
  <si>
    <t>SGRGUS1207</t>
  </si>
  <si>
    <t>SGRGUS1215</t>
  </si>
  <si>
    <t>SGRGUS1223</t>
  </si>
  <si>
    <t>SGRGUS1231</t>
  </si>
  <si>
    <t>SGRGUS1239</t>
  </si>
  <si>
    <t>SGRGUS1247</t>
  </si>
  <si>
    <t>SGRGUS1255</t>
  </si>
  <si>
    <t>SGRGUS1263</t>
  </si>
  <si>
    <t>SGRGUS1271</t>
  </si>
  <si>
    <t>SGRGUS1279</t>
  </si>
  <si>
    <t>SGRGUS1295</t>
  </si>
  <si>
    <t>SGRGUS1303</t>
  </si>
  <si>
    <t>SGRGUS1311</t>
  </si>
  <si>
    <t>SGRGUS1319</t>
  </si>
  <si>
    <t>SGRGUS1327</t>
  </si>
  <si>
    <t>SGRGUS1335</t>
  </si>
  <si>
    <t>SGRGUS1343</t>
  </si>
  <si>
    <t>SGRGUS1351</t>
  </si>
  <si>
    <t>SGRGUS1359</t>
  </si>
  <si>
    <t>SGRGUS1367</t>
  </si>
  <si>
    <t>SGRGUS1375</t>
  </si>
  <si>
    <t>SGRGUS1383</t>
  </si>
  <si>
    <t>SGRGUS1391</t>
  </si>
  <si>
    <t>SGRGUS1399</t>
  </si>
  <si>
    <t>SGRGUS1407</t>
  </si>
  <si>
    <t>SGRGUS1415</t>
  </si>
  <si>
    <t>SGRGUS1423</t>
  </si>
  <si>
    <t>SGRGUS1431</t>
  </si>
  <si>
    <t>SGRGUS1439</t>
  </si>
  <si>
    <t>SGRGUS1447</t>
  </si>
  <si>
    <t>SGRGUS1455</t>
  </si>
  <si>
    <t>SGRGUS1463</t>
  </si>
  <si>
    <t>SGRGUS1471</t>
  </si>
  <si>
    <t>SGRGUS1487</t>
  </si>
  <si>
    <t>SGRGUS1495</t>
  </si>
  <si>
    <t>SGRGUS1503</t>
  </si>
  <si>
    <t>SGRGUS1511</t>
  </si>
  <si>
    <t>SGRGUS1519</t>
  </si>
  <si>
    <t>SGRGUS1527</t>
  </si>
  <si>
    <t>SGRGUS1535</t>
  </si>
  <si>
    <t>SGRGUS1543</t>
  </si>
  <si>
    <t>SGRGUS1551</t>
  </si>
  <si>
    <t>SGRGUS1559</t>
  </si>
  <si>
    <t>SGRGUS1567</t>
  </si>
  <si>
    <t>SGRGUS1575</t>
  </si>
  <si>
    <t>SGRGUS1583</t>
  </si>
  <si>
    <t>SGRGUS1591</t>
  </si>
  <si>
    <t>SGRGUS1599</t>
  </si>
  <si>
    <t>SGRGUS1607</t>
  </si>
  <si>
    <t>SGRGUS1615</t>
  </si>
  <si>
    <t>SGRGUS1623</t>
  </si>
  <si>
    <t>SGRGUS1631</t>
  </si>
  <si>
    <t>SGRGUS1639</t>
  </si>
  <si>
    <t>SGRGUS1647</t>
  </si>
  <si>
    <t>SGRGUS1655</t>
  </si>
  <si>
    <t>SGRGUS1663</t>
  </si>
  <si>
    <t>SGRGUS1671</t>
  </si>
  <si>
    <t>SGRGUS1679</t>
  </si>
  <si>
    <t>SGRGUS1687</t>
  </si>
  <si>
    <t>SGRGUS1695</t>
  </si>
  <si>
    <t>SGRGUS1703</t>
  </si>
  <si>
    <t>SGRGUS1711</t>
  </si>
  <si>
    <t>SGRGUS1719</t>
  </si>
  <si>
    <t>SGRGUS1727</t>
  </si>
  <si>
    <t>SGRGUS1735</t>
  </si>
  <si>
    <t>SGRGUS1743</t>
  </si>
  <si>
    <t>SGRGUS1751</t>
  </si>
  <si>
    <t>SGRGUS1759</t>
  </si>
  <si>
    <t>Ajay Agarwal (Rajendra &amp; Co.)</t>
  </si>
  <si>
    <t>Star Gallery (USHA)</t>
  </si>
  <si>
    <t>Yogesh</t>
  </si>
  <si>
    <t>SGRGUS191</t>
  </si>
  <si>
    <t>SGRGUS481</t>
  </si>
  <si>
    <t>Raniya</t>
  </si>
  <si>
    <t>Kidwai Nagar</t>
  </si>
  <si>
    <t>Ghatampur</t>
  </si>
  <si>
    <t>Kanpur</t>
  </si>
  <si>
    <t>Zone</t>
  </si>
  <si>
    <t>Kanpur Dehat</t>
  </si>
  <si>
    <t>Kanpur Nagar</t>
  </si>
  <si>
    <t>Fatehpur</t>
  </si>
  <si>
    <t>Area</t>
  </si>
  <si>
    <t>Kannauj</t>
  </si>
  <si>
    <t>Barra</t>
  </si>
  <si>
    <t>Naubasta</t>
  </si>
  <si>
    <t>Lal Bangla</t>
  </si>
  <si>
    <t>Vinayakpur</t>
  </si>
  <si>
    <t>Karrahi</t>
  </si>
  <si>
    <t>Kathara</t>
  </si>
  <si>
    <t>NAUBASTA</t>
  </si>
  <si>
    <t>Satbari Road</t>
  </si>
  <si>
    <t>Panki</t>
  </si>
  <si>
    <t>Bithoor</t>
  </si>
  <si>
    <t>Rura</t>
  </si>
  <si>
    <t>Sachendi</t>
  </si>
  <si>
    <t>Akbarpur</t>
  </si>
  <si>
    <t>Jhinjhak</t>
  </si>
  <si>
    <t>Pukhrayan</t>
  </si>
  <si>
    <t>Derapur</t>
  </si>
  <si>
    <t>Jagat</t>
  </si>
  <si>
    <r>
      <t xml:space="preserve">SGRG SERVICES PRIVATE LIMITED,KANPUR &amp; Unnao
</t>
    </r>
    <r>
      <rPr>
        <b/>
        <sz val="24"/>
        <color rgb="FFFF0000"/>
        <rFont val="Aptos Narrow"/>
        <family val="2"/>
        <scheme val="minor"/>
      </rPr>
      <t xml:space="preserve">         OS Usha                                                       </t>
    </r>
  </si>
  <si>
    <t>Kanapur Nagar</t>
  </si>
  <si>
    <t>Nawab Ganj</t>
  </si>
  <si>
    <t>Sahil</t>
  </si>
  <si>
    <t>Swaroop Nagar</t>
  </si>
  <si>
    <t>Rasulabad</t>
  </si>
  <si>
    <t>Billhaur</t>
  </si>
  <si>
    <t>bithoor</t>
  </si>
  <si>
    <t>Chaubeypur</t>
  </si>
  <si>
    <t>Navipur</t>
  </si>
  <si>
    <t>Vinobha Nagar</t>
  </si>
  <si>
    <t>Lajpat Nagar</t>
  </si>
  <si>
    <t>Juhi</t>
  </si>
  <si>
    <t>kalyanpur</t>
  </si>
  <si>
    <t>Govind Nagar</t>
  </si>
  <si>
    <t>Shiv Katra</t>
  </si>
  <si>
    <t>MRB</t>
  </si>
  <si>
    <t>Krishna Nagar</t>
  </si>
  <si>
    <t>Maitha</t>
  </si>
  <si>
    <t>Karamchari Nagar</t>
  </si>
  <si>
    <t>Karachi Khana</t>
  </si>
  <si>
    <t>Tirwa</t>
  </si>
  <si>
    <t>Manimau</t>
  </si>
  <si>
    <t>Sandalpur</t>
  </si>
  <si>
    <t>Makrikhera</t>
  </si>
  <si>
    <t>patara</t>
  </si>
  <si>
    <t>Rania</t>
  </si>
  <si>
    <t>Barra-8</t>
  </si>
  <si>
    <t>Ramaipur</t>
  </si>
  <si>
    <t>Uttaripura</t>
  </si>
  <si>
    <t>Mig</t>
  </si>
  <si>
    <t>Raniyan</t>
  </si>
  <si>
    <t>Barra -2</t>
  </si>
  <si>
    <t>Bidhnu</t>
  </si>
  <si>
    <t>World Bank</t>
  </si>
  <si>
    <t>Jahanabad</t>
  </si>
  <si>
    <t>Araul</t>
  </si>
  <si>
    <t>vijay nagar</t>
  </si>
  <si>
    <t>Gwaltoli</t>
  </si>
  <si>
    <t>Mahrajpur</t>
  </si>
  <si>
    <t>Birhana Road</t>
  </si>
  <si>
    <t>Rai Purwa</t>
  </si>
  <si>
    <t>Sangeet talkies</t>
  </si>
  <si>
    <t>Gujaini</t>
  </si>
  <si>
    <t>Gumti</t>
  </si>
  <si>
    <t>Aditya Electronics (UAHA)</t>
  </si>
  <si>
    <t>Amit Electronic and Electrical (USHA)</t>
  </si>
  <si>
    <t>Anant Electricals</t>
  </si>
  <si>
    <t>HARI SHANKAR</t>
  </si>
  <si>
    <t>New Zubeen Electronics (USHA)</t>
  </si>
  <si>
    <t>R. K. Home Appliances (USHA)</t>
  </si>
  <si>
    <t>Shaurya Electronics (USHA)</t>
  </si>
  <si>
    <t>Telephone Point (USHA)</t>
  </si>
  <si>
    <t>Bharat Radios (USHA)</t>
  </si>
  <si>
    <t>M/s Sagar Electronics (USHA)</t>
  </si>
  <si>
    <t>New Vikash Electronics</t>
  </si>
  <si>
    <t>Rajan Battery and Electricals</t>
  </si>
  <si>
    <t>SGRGUS1377</t>
  </si>
  <si>
    <t>SGRGUS2945</t>
  </si>
  <si>
    <t>SGRGUS4513</t>
  </si>
  <si>
    <t>SGRGUS6081</t>
  </si>
  <si>
    <t>SGRGUS7649</t>
  </si>
  <si>
    <t>SGRGUS9217</t>
  </si>
  <si>
    <t>SGRGUS10785</t>
  </si>
  <si>
    <t>SGRGUS12353</t>
  </si>
  <si>
    <t>SGRGUS15489</t>
  </si>
  <si>
    <t>Aditya Electronics (USHA)</t>
  </si>
  <si>
    <t>Baba Yogeshwar Telicom and Electronics (USHA)</t>
  </si>
  <si>
    <t>M/s Fiza Telecom (USHA)</t>
  </si>
  <si>
    <t>SGRGUS27651</t>
  </si>
  <si>
    <t>SGRGUS41381</t>
  </si>
  <si>
    <t>SGRGUS68841</t>
  </si>
  <si>
    <t>Mahamaya Mega Mart (USHA)</t>
  </si>
  <si>
    <t>Mobile Hub Sanigawan (USHA)</t>
  </si>
  <si>
    <t>Sunny Electronics (USHA)</t>
  </si>
  <si>
    <t>SGRGUS151221</t>
  </si>
  <si>
    <t>SGRGUS219871</t>
  </si>
  <si>
    <t>SGRGUS288521</t>
  </si>
  <si>
    <t>Unnao</t>
  </si>
  <si>
    <t>Office</t>
  </si>
  <si>
    <t>Moosa Nagar</t>
  </si>
  <si>
    <t>lajpat nagar</t>
  </si>
  <si>
    <t>Victoria Mill</t>
  </si>
  <si>
    <t>Sangaiwan</t>
  </si>
  <si>
    <t>Rawatpur</t>
  </si>
  <si>
    <t>Rajendra and Company</t>
  </si>
  <si>
    <t>New Singh Electronics &amp; Electricals (USHA)</t>
  </si>
  <si>
    <t>SGRGUS11859</t>
  </si>
  <si>
    <t>SGRGUS24749</t>
  </si>
  <si>
    <t>Tejinder Pal Singh</t>
  </si>
  <si>
    <t>Ankit Omer</t>
  </si>
  <si>
    <t>Shrishti Electronics (UAHA )</t>
  </si>
  <si>
    <t>Upasana Enterprises</t>
  </si>
  <si>
    <t>Shailly Electronics &amp; Home Appliances (USHA)</t>
  </si>
  <si>
    <t>Asha Mobile Centre (USHA)</t>
  </si>
  <si>
    <t>Shree Balaji Electronics (USHA)</t>
  </si>
  <si>
    <t>Trust Me Traders (USHA)</t>
  </si>
  <si>
    <t>Vaishnavi Mobile &amp; Electronics (USHA)</t>
  </si>
  <si>
    <t>Maa Electronics (USHA)</t>
  </si>
  <si>
    <t>Yogita Eletronic and Farniture (USHA)</t>
  </si>
  <si>
    <t>30 to 45 days</t>
  </si>
  <si>
    <t>45 to 60 days</t>
  </si>
  <si>
    <t>60 to 75 days</t>
  </si>
  <si>
    <t>75 to 90 days</t>
  </si>
  <si>
    <t>(&gt; 90 days )</t>
  </si>
  <si>
    <t>Arya Enterprises (USHA)</t>
  </si>
  <si>
    <t>Jai Bala Ji Enterprises (USHA)</t>
  </si>
  <si>
    <t>Ganpati Traders (USHA)</t>
  </si>
  <si>
    <t>SGRGUS2207</t>
  </si>
  <si>
    <t>SGRGUS2663</t>
  </si>
  <si>
    <t>SGRGUS3119</t>
  </si>
  <si>
    <t>SGRGUS3575</t>
  </si>
  <si>
    <t>Jubair Furniture and Electronics Shop (USHA)</t>
  </si>
  <si>
    <t>Z1 Eletronics (Usha)</t>
  </si>
  <si>
    <t>Sarthak Electronics &amp; Furniture House (USHA)</t>
  </si>
  <si>
    <t>SGRGUS4031</t>
  </si>
  <si>
    <t>SGRGUS4487</t>
  </si>
  <si>
    <t>M.A and Company (USHA)</t>
  </si>
  <si>
    <t>Rampa Electronics (USHA)</t>
  </si>
  <si>
    <t>New Tomar Furniture and Electronic House (USHA)</t>
  </si>
  <si>
    <t>Rishi Muni Mobile (USHA)</t>
  </si>
  <si>
    <t>Shrishti Electronics (USHA)</t>
  </si>
  <si>
    <t>Brajwasi Enterprises (USHA)</t>
  </si>
  <si>
    <t>Hi Tech Computer and Stationers (USHA)</t>
  </si>
  <si>
    <t>GOPAL PUR</t>
  </si>
  <si>
    <t>KESHAVPURAM</t>
  </si>
  <si>
    <t>HANUMANT VIHAR</t>
  </si>
  <si>
    <t>NARAYANPURI</t>
  </si>
  <si>
    <t>Farrukhabad</t>
  </si>
  <si>
    <t>Tikona Chauki</t>
  </si>
  <si>
    <t>Kalyanpur</t>
  </si>
  <si>
    <t>Shiv Arpan</t>
  </si>
  <si>
    <t>Makanpur</t>
  </si>
  <si>
    <t>chamanganj</t>
  </si>
  <si>
    <t>Raunak</t>
  </si>
  <si>
    <t>Sanigawan</t>
  </si>
  <si>
    <t>Tikra</t>
  </si>
  <si>
    <t>Jawahar Nagar</t>
  </si>
  <si>
    <t>Begum Purwa</t>
  </si>
  <si>
    <t>Shithmara</t>
  </si>
  <si>
    <t>Patara</t>
  </si>
  <si>
    <t>Moti Mohal</t>
  </si>
  <si>
    <t>Gandhi Gram</t>
  </si>
  <si>
    <t>Yashoda Nagar</t>
  </si>
  <si>
    <t>Rawatpur Gaon</t>
  </si>
  <si>
    <t>Rawat Pur Gaon</t>
  </si>
  <si>
    <t>Musanagar</t>
  </si>
  <si>
    <t>hoolaganj</t>
  </si>
  <si>
    <t>Nawabganj</t>
  </si>
  <si>
    <t>Mainawati Marg</t>
  </si>
  <si>
    <t>dabaouli</t>
  </si>
  <si>
    <t>Shastri Chowk</t>
  </si>
  <si>
    <t>Singhpur</t>
  </si>
  <si>
    <t>80 Feet Road</t>
  </si>
  <si>
    <t>Mandhana</t>
  </si>
  <si>
    <t>Shatabdi Nagar</t>
  </si>
  <si>
    <t>Vijay Nagar</t>
  </si>
  <si>
    <t>Bakar Ganj</t>
  </si>
  <si>
    <t>Rail Bazar</t>
  </si>
  <si>
    <t>khadenpur</t>
  </si>
  <si>
    <t>Bara Devi</t>
  </si>
  <si>
    <t>Keshav Nagar</t>
  </si>
  <si>
    <t>Dada Nagar</t>
  </si>
  <si>
    <t>Sarh</t>
  </si>
  <si>
    <t>Indra Nagar</t>
  </si>
  <si>
    <t xml:space="preserve">KANPUR NAGER </t>
  </si>
  <si>
    <t>RAUNAK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</si>
</sst>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&quot;&quot;0.00"/>
    <numFmt numFmtId="166" formatCode="&quot;&quot;0"/>
  </numFmts>
  <fonts count="11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gradientFill type="path" left="0.5" right="0.5" top="0.5" bottom="0.5">
        <stop position="0">
          <color theme="0"/>
        </stop>
        <stop position="1">
          <color rgb="FFFFFF00"/>
        </stop>
      </gradient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4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1" fontId="6" fillId="5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9" fontId="8" fillId="0" borderId="7" xfId="0" applyNumberFormat="1" applyFont="1" applyBorder="1" applyAlignment="1">
      <alignment horizontal="left" vertical="top" indent="2"/>
    </xf>
    <xf numFmtId="49" fontId="7" fillId="0" borderId="0" xfId="0" applyNumberFormat="1" applyFont="1" applyAlignment="1">
      <alignment vertical="top"/>
    </xf>
    <xf numFmtId="165" fontId="7" fillId="0" borderId="8" xfId="0" applyNumberFormat="1" applyFont="1" applyBorder="1" applyAlignment="1">
      <alignment horizontal="right" vertical="top"/>
    </xf>
    <xf numFmtId="166" fontId="9" fillId="0" borderId="8" xfId="0" applyNumberFormat="1" applyFont="1" applyBorder="1" applyAlignment="1">
      <alignment horizontal="right" vertical="top"/>
    </xf>
    <xf numFmtId="166" fontId="7" fillId="0" borderId="8" xfId="0" applyNumberFormat="1" applyFont="1" applyBorder="1" applyAlignment="1">
      <alignment horizontal="right" vertical="top"/>
    </xf>
    <xf numFmtId="165" fontId="9" fillId="0" borderId="8" xfId="0" applyNumberFormat="1" applyFont="1" applyBorder="1" applyAlignment="1">
      <alignment horizontal="right" vertical="top"/>
    </xf>
    <xf numFmtId="165" fontId="7" fillId="0" borderId="7" xfId="0" applyNumberFormat="1" applyFont="1" applyBorder="1" applyAlignment="1">
      <alignment horizontal="right" vertical="top"/>
    </xf>
    <xf numFmtId="166" fontId="9" fillId="0" borderId="7" xfId="0" applyNumberFormat="1" applyFont="1" applyBorder="1" applyAlignment="1">
      <alignment horizontal="right" vertical="top"/>
    </xf>
    <xf numFmtId="166" fontId="7" fillId="0" borderId="7" xfId="0" applyNumberFormat="1" applyFont="1" applyBorder="1" applyAlignment="1">
      <alignment horizontal="right" vertical="top"/>
    </xf>
    <xf numFmtId="165" fontId="9" fillId="0" borderId="7" xfId="0" applyNumberFormat="1" applyFont="1" applyBorder="1" applyAlignment="1">
      <alignment horizontal="right" vertical="top"/>
    </xf>
    <xf numFmtId="49" fontId="8" fillId="0" borderId="6" xfId="0" applyNumberFormat="1" applyFont="1" applyBorder="1" applyAlignment="1">
      <alignment horizontal="left" vertical="top" indent="2"/>
    </xf>
    <xf numFmtId="165" fontId="8" fillId="0" borderId="9" xfId="0" applyNumberFormat="1" applyFont="1" applyBorder="1" applyAlignment="1">
      <alignment horizontal="right" vertical="top"/>
    </xf>
    <xf numFmtId="165" fontId="10" fillId="0" borderId="9" xfId="0" applyNumberFormat="1" applyFont="1" applyBorder="1" applyAlignment="1">
      <alignment horizontal="right" vertical="top"/>
    </xf>
    <xf numFmtId="49" fontId="8" fillId="0" borderId="8" xfId="0" applyNumberFormat="1" applyFont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/>
    </xf>
    <xf numFmtId="14" fontId="5" fillId="3" borderId="3" xfId="0" applyNumberFormat="1" applyFont="1" applyFill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8ACC-F99B-45EE-8C48-438A108FDA06}">
  <dimension ref="A1:M232"/>
  <sheetViews>
    <sheetView tabSelected="1" topLeftCell="A2" zoomScale="60" zoomScaleNormal="60" workbookViewId="0">
      <selection activeCell="H13" sqref="H13"/>
    </sheetView>
  </sheetViews>
  <sheetFormatPr defaultRowHeight="15" x14ac:dyDescent="0.25"/>
  <cols>
    <col min="1" max="1" width="24.140625" bestFit="1" customWidth="1"/>
    <col min="2" max="2" width="74.5703125" bestFit="1" customWidth="1"/>
    <col min="3" max="3" width="25.140625" bestFit="1" customWidth="1"/>
    <col min="4" max="4" width="37.140625" bestFit="1" customWidth="1"/>
    <col min="5" max="5" width="24.7109375" bestFit="1" customWidth="1"/>
    <col min="6" max="6" width="26.140625" bestFit="1" customWidth="1"/>
    <col min="7" max="7" width="24.7109375" bestFit="1" customWidth="1"/>
    <col min="8" max="12" width="27" bestFit="1" customWidth="1"/>
    <col min="13" max="13" width="24.7109375" style="8" bestFit="1" customWidth="1"/>
  </cols>
  <sheetData>
    <row r="1" spans="1:13" ht="84" customHeight="1" x14ac:dyDescent="0.25">
      <c r="A1" s="33" t="s">
        <v>405</v>
      </c>
      <c r="B1" s="34"/>
      <c r="C1" s="34"/>
      <c r="D1" s="34"/>
      <c r="E1" s="34"/>
      <c r="F1" s="34"/>
      <c r="G1" s="30" t="s">
        <v>0</v>
      </c>
      <c r="H1" s="31"/>
      <c r="I1" s="32"/>
      <c r="J1" s="30">
        <f ca="1">TODAY()</f>
        <v>46255</v>
      </c>
      <c r="K1" s="31"/>
      <c r="L1" s="31"/>
      <c r="M1" s="31"/>
    </row>
    <row r="2" spans="1:13" ht="42" customHeight="1" x14ac:dyDescent="0.25">
      <c r="A2" s="29" t="s">
        <v>1</v>
      </c>
      <c r="B2" s="29"/>
      <c r="C2" s="2">
        <f>SUBTOTAL(3,C4:C212)</f>
        <v>209</v>
      </c>
      <c r="D2" s="2">
        <f t="shared" ref="D2:E2" si="0">SUBTOTAL(3,D4:D212)</f>
        <v>209</v>
      </c>
      <c r="E2" s="2">
        <f t="shared" si="0"/>
        <v>209</v>
      </c>
      <c r="F2" s="1">
        <f>SUBTOTAL(9,F4:F363)</f>
        <v>4446218.49</v>
      </c>
      <c r="G2" s="1">
        <f>SUBTOTAL(9,G4:G363)</f>
        <v>398344</v>
      </c>
      <c r="H2" s="1">
        <f t="shared" ref="H2:M2" si="1">SUBTOTAL(9,H4:H363)</f>
        <v>676894</v>
      </c>
      <c r="I2" s="1">
        <f t="shared" si="1"/>
        <v>386884</v>
      </c>
      <c r="J2" s="1">
        <f t="shared" si="1"/>
        <v>114392</v>
      </c>
      <c r="K2" s="1">
        <f t="shared" si="1"/>
        <v>350450.98</v>
      </c>
      <c r="L2" s="1">
        <f t="shared" si="1"/>
        <v>242929</v>
      </c>
      <c r="M2" s="1">
        <f t="shared" si="1"/>
        <v>2250363.5099999998</v>
      </c>
    </row>
    <row r="3" spans="1:13" ht="24" x14ac:dyDescent="0.25">
      <c r="A3" s="3" t="s">
        <v>2</v>
      </c>
      <c r="B3" s="3" t="s">
        <v>3</v>
      </c>
      <c r="C3" s="3" t="s">
        <v>382</v>
      </c>
      <c r="D3" s="3" t="s">
        <v>386</v>
      </c>
      <c r="E3" s="3" t="s">
        <v>4</v>
      </c>
      <c r="F3" s="4" t="s">
        <v>5</v>
      </c>
      <c r="G3" s="4" t="s">
        <v>6</v>
      </c>
      <c r="H3" s="4" t="s">
        <v>7</v>
      </c>
      <c r="I3" s="4" t="s">
        <v>505</v>
      </c>
      <c r="J3" s="4" t="s">
        <v>506</v>
      </c>
      <c r="K3" s="4" t="s">
        <v>507</v>
      </c>
      <c r="L3" s="4" t="s">
        <v>508</v>
      </c>
      <c r="M3" s="4" t="s">
        <v>509</v>
      </c>
    </row>
    <row r="4" spans="1:13" ht="24" x14ac:dyDescent="0.4">
      <c r="A4" s="5" t="s">
        <v>249</v>
      </c>
      <c r="B4" s="5" t="s">
        <v>526</v>
      </c>
      <c r="C4" s="5" t="s">
        <v>570</v>
      </c>
      <c r="D4" s="5" t="s">
        <v>531</v>
      </c>
      <c r="E4" s="5" t="s">
        <v>571</v>
      </c>
      <c r="F4" s="6">
        <v>17750</v>
      </c>
      <c r="G4" s="6">
        <v>0</v>
      </c>
      <c r="H4" s="6">
        <v>0</v>
      </c>
      <c r="I4" s="6">
        <v>17750</v>
      </c>
      <c r="J4" s="6">
        <v>0</v>
      </c>
      <c r="K4" s="6">
        <v>0</v>
      </c>
      <c r="L4" s="6">
        <v>0</v>
      </c>
      <c r="M4" s="6">
        <v>0</v>
      </c>
    </row>
    <row r="5" spans="1:13" ht="24" x14ac:dyDescent="0.4">
      <c r="A5" s="5" t="s">
        <v>316</v>
      </c>
      <c r="B5" s="5" t="s">
        <v>525</v>
      </c>
      <c r="C5" s="5" t="s">
        <v>384</v>
      </c>
      <c r="D5" s="5" t="s">
        <v>530</v>
      </c>
      <c r="E5" s="5" t="s">
        <v>539</v>
      </c>
      <c r="F5" s="6">
        <v>7919</v>
      </c>
      <c r="G5" s="6">
        <v>7919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</row>
    <row r="6" spans="1:13" ht="24" x14ac:dyDescent="0.4">
      <c r="A6" s="5" t="s">
        <v>240</v>
      </c>
      <c r="B6" s="5" t="s">
        <v>524</v>
      </c>
      <c r="C6" s="5" t="s">
        <v>384</v>
      </c>
      <c r="D6" s="5" t="s">
        <v>529</v>
      </c>
      <c r="E6" s="5" t="s">
        <v>539</v>
      </c>
      <c r="F6" s="6">
        <v>5194</v>
      </c>
      <c r="G6" s="6">
        <v>5194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</row>
    <row r="7" spans="1:13" ht="24" x14ac:dyDescent="0.4">
      <c r="A7" s="5" t="s">
        <v>240</v>
      </c>
      <c r="B7" s="5" t="s">
        <v>528</v>
      </c>
      <c r="C7" s="5" t="s">
        <v>384</v>
      </c>
      <c r="D7" s="5" t="s">
        <v>394</v>
      </c>
      <c r="E7" s="5" t="s">
        <v>408</v>
      </c>
      <c r="F7" s="6">
        <v>23770</v>
      </c>
      <c r="G7" s="6">
        <v>23770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</row>
    <row r="8" spans="1:13" ht="24" x14ac:dyDescent="0.4">
      <c r="A8" s="5" t="s">
        <v>253</v>
      </c>
      <c r="B8" s="5" t="s">
        <v>527</v>
      </c>
      <c r="C8" s="5" t="s">
        <v>384</v>
      </c>
      <c r="D8" s="5" t="s">
        <v>532</v>
      </c>
      <c r="E8" s="5" t="s">
        <v>539</v>
      </c>
      <c r="F8" s="6">
        <v>2099</v>
      </c>
      <c r="G8" s="6">
        <v>2099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</row>
    <row r="9" spans="1:13" ht="24" x14ac:dyDescent="0.4">
      <c r="A9" s="5" t="s">
        <v>321</v>
      </c>
      <c r="B9" s="5" t="s">
        <v>26</v>
      </c>
      <c r="C9" s="5" t="s">
        <v>384</v>
      </c>
      <c r="D9" s="5">
        <v>0</v>
      </c>
      <c r="E9" s="5" t="s">
        <v>408</v>
      </c>
      <c r="F9" s="6">
        <v>12434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12434</v>
      </c>
    </row>
    <row r="10" spans="1:13" ht="24" x14ac:dyDescent="0.4">
      <c r="A10" s="5" t="s">
        <v>230</v>
      </c>
      <c r="B10" s="5" t="s">
        <v>115</v>
      </c>
      <c r="C10" s="5" t="s">
        <v>384</v>
      </c>
      <c r="D10" s="5" t="s">
        <v>558</v>
      </c>
      <c r="E10" s="5" t="s">
        <v>375</v>
      </c>
      <c r="F10" s="6">
        <v>6605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6605</v>
      </c>
    </row>
    <row r="11" spans="1:13" ht="24" x14ac:dyDescent="0.4">
      <c r="A11" s="5" t="s">
        <v>469</v>
      </c>
      <c r="B11" s="5" t="s">
        <v>455</v>
      </c>
      <c r="C11" s="5" t="s">
        <v>384</v>
      </c>
      <c r="D11" s="5" t="s">
        <v>558</v>
      </c>
      <c r="E11" s="5" t="s">
        <v>375</v>
      </c>
      <c r="F11" s="6">
        <v>3020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3020</v>
      </c>
      <c r="M11" s="6">
        <v>0</v>
      </c>
    </row>
    <row r="12" spans="1:13" ht="24" x14ac:dyDescent="0.4">
      <c r="A12" s="5" t="s">
        <v>304</v>
      </c>
      <c r="B12" s="5" t="s">
        <v>10</v>
      </c>
      <c r="C12" s="5" t="s">
        <v>406</v>
      </c>
      <c r="D12" s="5" t="s">
        <v>400</v>
      </c>
      <c r="E12" s="5" t="s">
        <v>408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</row>
    <row r="13" spans="1:13" ht="24" x14ac:dyDescent="0.4">
      <c r="A13" s="5" t="s">
        <v>312</v>
      </c>
      <c r="B13" s="5" t="s">
        <v>63</v>
      </c>
      <c r="C13" s="5" t="s">
        <v>383</v>
      </c>
      <c r="D13" s="5" t="s">
        <v>400</v>
      </c>
      <c r="E13" s="5" t="s">
        <v>408</v>
      </c>
      <c r="F13" s="6">
        <v>8346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8346</v>
      </c>
    </row>
    <row r="14" spans="1:13" ht="24" x14ac:dyDescent="0.4">
      <c r="A14" s="5" t="s">
        <v>462</v>
      </c>
      <c r="B14" s="5" t="s">
        <v>450</v>
      </c>
      <c r="C14" s="5" t="s">
        <v>383</v>
      </c>
      <c r="D14" s="5" t="s">
        <v>400</v>
      </c>
      <c r="E14" s="5" t="s">
        <v>408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</row>
    <row r="15" spans="1:13" ht="24" x14ac:dyDescent="0.4">
      <c r="A15" s="5" t="s">
        <v>336</v>
      </c>
      <c r="B15" s="5" t="s">
        <v>41</v>
      </c>
      <c r="C15" s="5" t="s">
        <v>384</v>
      </c>
      <c r="D15" s="5" t="s">
        <v>400</v>
      </c>
      <c r="E15" s="5" t="s">
        <v>408</v>
      </c>
      <c r="F15" s="6">
        <v>145577</v>
      </c>
      <c r="G15" s="6">
        <v>0</v>
      </c>
      <c r="H15" s="6">
        <v>142150</v>
      </c>
      <c r="I15" s="6">
        <v>0</v>
      </c>
      <c r="J15" s="6">
        <v>0</v>
      </c>
      <c r="K15" s="6">
        <v>0</v>
      </c>
      <c r="L15" s="6">
        <v>0</v>
      </c>
      <c r="M15" s="6">
        <v>3427</v>
      </c>
    </row>
    <row r="16" spans="1:13" ht="24" x14ac:dyDescent="0.4">
      <c r="A16" s="5" t="s">
        <v>474</v>
      </c>
      <c r="B16" s="5" t="s">
        <v>471</v>
      </c>
      <c r="C16" s="5" t="s">
        <v>384</v>
      </c>
      <c r="D16" s="5" t="s">
        <v>400</v>
      </c>
      <c r="E16" s="5" t="s">
        <v>408</v>
      </c>
      <c r="F16" s="6">
        <v>65938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65938</v>
      </c>
      <c r="M16" s="6">
        <v>0</v>
      </c>
    </row>
    <row r="17" spans="1:13" ht="24" x14ac:dyDescent="0.4">
      <c r="A17" s="5" t="s">
        <v>287</v>
      </c>
      <c r="B17" s="5" t="s">
        <v>44</v>
      </c>
      <c r="C17" s="5" t="s">
        <v>384</v>
      </c>
      <c r="D17" s="5" t="s">
        <v>400</v>
      </c>
      <c r="E17" s="5" t="s">
        <v>408</v>
      </c>
      <c r="F17" s="6">
        <v>54764</v>
      </c>
      <c r="G17" s="6">
        <v>0</v>
      </c>
      <c r="H17" s="6">
        <v>10000</v>
      </c>
      <c r="I17" s="6">
        <v>0</v>
      </c>
      <c r="J17" s="6">
        <v>0</v>
      </c>
      <c r="K17" s="6">
        <v>0</v>
      </c>
      <c r="L17" s="6">
        <v>0</v>
      </c>
      <c r="M17" s="6">
        <v>44764</v>
      </c>
    </row>
    <row r="18" spans="1:13" ht="24" x14ac:dyDescent="0.4">
      <c r="A18" s="5" t="s">
        <v>327</v>
      </c>
      <c r="B18" s="5" t="s">
        <v>64</v>
      </c>
      <c r="C18" s="5" t="s">
        <v>384</v>
      </c>
      <c r="D18" s="5" t="s">
        <v>400</v>
      </c>
      <c r="E18" s="5" t="s">
        <v>408</v>
      </c>
      <c r="F18" s="6">
        <v>10200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10200</v>
      </c>
    </row>
    <row r="19" spans="1:13" ht="24" x14ac:dyDescent="0.4">
      <c r="A19" s="5" t="s">
        <v>310</v>
      </c>
      <c r="B19" s="5" t="s">
        <v>24</v>
      </c>
      <c r="C19" s="5" t="s">
        <v>384</v>
      </c>
      <c r="D19" s="5" t="s">
        <v>400</v>
      </c>
      <c r="E19" s="5" t="s">
        <v>408</v>
      </c>
      <c r="F19" s="6">
        <v>7821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7821</v>
      </c>
    </row>
    <row r="20" spans="1:13" ht="24" x14ac:dyDescent="0.4">
      <c r="A20" s="5" t="s">
        <v>324</v>
      </c>
      <c r="B20" s="5" t="s">
        <v>57</v>
      </c>
      <c r="C20" s="5" t="s">
        <v>384</v>
      </c>
      <c r="D20" s="5" t="s">
        <v>400</v>
      </c>
      <c r="E20" s="5" t="s">
        <v>408</v>
      </c>
      <c r="F20" s="6">
        <v>6700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6700</v>
      </c>
    </row>
    <row r="21" spans="1:13" ht="24" x14ac:dyDescent="0.4">
      <c r="A21" s="5" t="s">
        <v>333</v>
      </c>
      <c r="B21" s="5" t="s">
        <v>27</v>
      </c>
      <c r="C21" s="5" t="s">
        <v>384</v>
      </c>
      <c r="D21" s="5" t="s">
        <v>400</v>
      </c>
      <c r="E21" s="5" t="s">
        <v>408</v>
      </c>
      <c r="F21" s="6">
        <v>5848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5848</v>
      </c>
    </row>
    <row r="22" spans="1:13" ht="24" x14ac:dyDescent="0.4">
      <c r="A22" s="5" t="s">
        <v>335</v>
      </c>
      <c r="B22" s="5" t="s">
        <v>29</v>
      </c>
      <c r="C22" s="5" t="s">
        <v>384</v>
      </c>
      <c r="D22" s="5" t="s">
        <v>400</v>
      </c>
      <c r="E22" s="5" t="s">
        <v>408</v>
      </c>
      <c r="F22" s="6">
        <v>4920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4920</v>
      </c>
    </row>
    <row r="23" spans="1:13" ht="24" x14ac:dyDescent="0.4">
      <c r="A23" s="5" t="s">
        <v>347</v>
      </c>
      <c r="B23" s="5" t="s">
        <v>183</v>
      </c>
      <c r="C23" s="5" t="s">
        <v>384</v>
      </c>
      <c r="D23" s="5" t="s">
        <v>400</v>
      </c>
      <c r="E23" s="5" t="s">
        <v>408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</row>
    <row r="24" spans="1:13" ht="24" x14ac:dyDescent="0.4">
      <c r="A24" s="5" t="s">
        <v>229</v>
      </c>
      <c r="B24" s="5" t="s">
        <v>111</v>
      </c>
      <c r="C24" s="5" t="s">
        <v>384</v>
      </c>
      <c r="D24" s="5" t="s">
        <v>441</v>
      </c>
      <c r="E24" s="5" t="s">
        <v>375</v>
      </c>
      <c r="F24" s="6">
        <v>17101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17101</v>
      </c>
    </row>
    <row r="25" spans="1:13" ht="24" x14ac:dyDescent="0.4">
      <c r="A25" s="5" t="s">
        <v>376</v>
      </c>
      <c r="B25" s="5" t="s">
        <v>374</v>
      </c>
      <c r="C25" s="5" t="s">
        <v>384</v>
      </c>
      <c r="D25" s="5" t="s">
        <v>562</v>
      </c>
      <c r="E25" s="5" t="s">
        <v>375</v>
      </c>
      <c r="F25" s="6">
        <v>3020</v>
      </c>
      <c r="G25" s="6">
        <v>0</v>
      </c>
      <c r="H25" s="6">
        <v>0</v>
      </c>
      <c r="I25" s="6">
        <v>0</v>
      </c>
      <c r="J25" s="6">
        <v>3020</v>
      </c>
      <c r="K25" s="6">
        <v>0</v>
      </c>
      <c r="L25" s="6">
        <v>0</v>
      </c>
      <c r="M25" s="6">
        <v>0</v>
      </c>
    </row>
    <row r="26" spans="1:13" ht="24" x14ac:dyDescent="0.4">
      <c r="A26" s="5" t="s">
        <v>368</v>
      </c>
      <c r="B26" s="5" t="s">
        <v>187</v>
      </c>
      <c r="C26" s="5" t="s">
        <v>384</v>
      </c>
      <c r="D26" s="5" t="s">
        <v>565</v>
      </c>
      <c r="E26" s="5" t="s">
        <v>484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</row>
    <row r="27" spans="1:13" ht="24" x14ac:dyDescent="0.4">
      <c r="A27" s="5" t="s">
        <v>210</v>
      </c>
      <c r="B27" s="5" t="s">
        <v>132</v>
      </c>
      <c r="C27" s="5" t="s">
        <v>384</v>
      </c>
      <c r="D27" s="5" t="s">
        <v>565</v>
      </c>
      <c r="E27" s="5" t="s">
        <v>539</v>
      </c>
      <c r="F27" s="6">
        <v>1380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1380</v>
      </c>
    </row>
    <row r="28" spans="1:13" ht="24" x14ac:dyDescent="0.4">
      <c r="A28" s="5" t="s">
        <v>217</v>
      </c>
      <c r="B28" s="5" t="s">
        <v>133</v>
      </c>
      <c r="C28" s="5" t="s">
        <v>384</v>
      </c>
      <c r="D28" s="5" t="s">
        <v>565</v>
      </c>
      <c r="E28" s="5" t="s">
        <v>539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</row>
    <row r="29" spans="1:13" ht="24" x14ac:dyDescent="0.4">
      <c r="A29" s="5" t="s">
        <v>234</v>
      </c>
      <c r="B29" s="5" t="s">
        <v>120</v>
      </c>
      <c r="C29" s="5" t="s">
        <v>384</v>
      </c>
      <c r="D29" s="5" t="s">
        <v>388</v>
      </c>
      <c r="E29" s="5" t="s">
        <v>408</v>
      </c>
      <c r="F29" s="6">
        <v>13610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13610</v>
      </c>
    </row>
    <row r="30" spans="1:13" ht="24" x14ac:dyDescent="0.4">
      <c r="A30" s="5" t="s">
        <v>238</v>
      </c>
      <c r="B30" s="5" t="s">
        <v>108</v>
      </c>
      <c r="C30" s="5" t="s">
        <v>384</v>
      </c>
      <c r="D30" s="5" t="s">
        <v>388</v>
      </c>
      <c r="E30" s="5" t="s">
        <v>408</v>
      </c>
      <c r="F30" s="6">
        <v>13290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13290</v>
      </c>
    </row>
    <row r="31" spans="1:13" ht="24" x14ac:dyDescent="0.4">
      <c r="A31" s="5" t="s">
        <v>311</v>
      </c>
      <c r="B31" s="5" t="s">
        <v>50</v>
      </c>
      <c r="C31" s="5" t="s">
        <v>384</v>
      </c>
      <c r="D31" s="5" t="s">
        <v>388</v>
      </c>
      <c r="E31" s="5" t="s">
        <v>408</v>
      </c>
      <c r="F31" s="6">
        <v>10721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10721</v>
      </c>
    </row>
    <row r="32" spans="1:13" ht="24" x14ac:dyDescent="0.4">
      <c r="A32" s="5" t="s">
        <v>258</v>
      </c>
      <c r="B32" s="5" t="s">
        <v>100</v>
      </c>
      <c r="C32" s="5" t="s">
        <v>384</v>
      </c>
      <c r="D32" s="5" t="s">
        <v>388</v>
      </c>
      <c r="E32" s="5" t="s">
        <v>408</v>
      </c>
      <c r="F32" s="6">
        <v>21124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21124</v>
      </c>
    </row>
    <row r="33" spans="1:13" ht="24" x14ac:dyDescent="0.4">
      <c r="A33" s="5" t="s">
        <v>214</v>
      </c>
      <c r="B33" s="5" t="s">
        <v>140</v>
      </c>
      <c r="C33" s="5" t="s">
        <v>384</v>
      </c>
      <c r="D33" s="5" t="s">
        <v>388</v>
      </c>
      <c r="E33" s="5" t="s">
        <v>375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</row>
    <row r="34" spans="1:13" ht="24" x14ac:dyDescent="0.4">
      <c r="A34" s="5" t="s">
        <v>203</v>
      </c>
      <c r="B34" s="5" t="s">
        <v>145</v>
      </c>
      <c r="C34" s="5" t="s">
        <v>384</v>
      </c>
      <c r="D34" s="5" t="s">
        <v>437</v>
      </c>
      <c r="E34" s="5" t="s">
        <v>539</v>
      </c>
      <c r="F34" s="6">
        <v>13310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13310</v>
      </c>
    </row>
    <row r="35" spans="1:13" ht="24" x14ac:dyDescent="0.4">
      <c r="A35" s="5" t="s">
        <v>349</v>
      </c>
      <c r="B35" s="5" t="s">
        <v>169</v>
      </c>
      <c r="C35" s="5" t="s">
        <v>384</v>
      </c>
      <c r="D35" s="5" t="s">
        <v>437</v>
      </c>
      <c r="E35" s="5" t="s">
        <v>408</v>
      </c>
      <c r="F35" s="6">
        <v>15456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15456</v>
      </c>
    </row>
    <row r="36" spans="1:13" ht="24" x14ac:dyDescent="0.4">
      <c r="A36" s="5" t="s">
        <v>281</v>
      </c>
      <c r="B36" s="5" t="s">
        <v>72</v>
      </c>
      <c r="C36" s="5" t="s">
        <v>384</v>
      </c>
      <c r="D36" s="5" t="s">
        <v>437</v>
      </c>
      <c r="E36" s="5" t="s">
        <v>408</v>
      </c>
      <c r="F36" s="6">
        <v>35219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35219</v>
      </c>
    </row>
    <row r="37" spans="1:13" ht="24" x14ac:dyDescent="0.4">
      <c r="A37" s="5" t="s">
        <v>253</v>
      </c>
      <c r="B37" s="5" t="s">
        <v>80</v>
      </c>
      <c r="C37" s="5" t="s">
        <v>384</v>
      </c>
      <c r="D37" s="5" t="s">
        <v>432</v>
      </c>
      <c r="E37" s="5" t="s">
        <v>408</v>
      </c>
      <c r="F37" s="6">
        <v>6497</v>
      </c>
      <c r="G37" s="6">
        <v>6497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</row>
    <row r="38" spans="1:13" ht="24" x14ac:dyDescent="0.4">
      <c r="A38" s="5" t="s">
        <v>267</v>
      </c>
      <c r="B38" s="5" t="s">
        <v>69</v>
      </c>
      <c r="C38" s="5" t="s">
        <v>406</v>
      </c>
      <c r="D38" s="5" t="s">
        <v>543</v>
      </c>
      <c r="E38" s="5" t="s">
        <v>539</v>
      </c>
      <c r="F38" s="6">
        <v>3514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3514</v>
      </c>
    </row>
    <row r="39" spans="1:13" ht="24" x14ac:dyDescent="0.4">
      <c r="A39" s="5" t="s">
        <v>272</v>
      </c>
      <c r="B39" s="5" t="s">
        <v>92</v>
      </c>
      <c r="C39" s="5" t="s">
        <v>384</v>
      </c>
      <c r="D39" s="5" t="s">
        <v>438</v>
      </c>
      <c r="E39" s="5" t="s">
        <v>408</v>
      </c>
      <c r="F39" s="6">
        <v>19063</v>
      </c>
      <c r="G39" s="6">
        <v>0</v>
      </c>
      <c r="H39" s="6">
        <v>0</v>
      </c>
      <c r="I39" s="6">
        <v>0</v>
      </c>
      <c r="J39" s="6">
        <v>18920</v>
      </c>
      <c r="K39" s="6">
        <v>0</v>
      </c>
      <c r="L39" s="6">
        <v>0</v>
      </c>
      <c r="M39" s="6">
        <v>143</v>
      </c>
    </row>
    <row r="40" spans="1:13" ht="24" x14ac:dyDescent="0.4">
      <c r="A40" s="5" t="s">
        <v>284</v>
      </c>
      <c r="B40" s="5" t="s">
        <v>51</v>
      </c>
      <c r="C40" s="5" t="s">
        <v>384</v>
      </c>
      <c r="D40" s="5" t="s">
        <v>411</v>
      </c>
      <c r="E40" s="5" t="s">
        <v>375</v>
      </c>
      <c r="F40" s="6">
        <v>70486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70486</v>
      </c>
    </row>
    <row r="41" spans="1:13" ht="24" x14ac:dyDescent="0.4">
      <c r="A41" s="5" t="s">
        <v>223</v>
      </c>
      <c r="B41" s="5" t="s">
        <v>114</v>
      </c>
      <c r="C41" s="5" t="s">
        <v>384</v>
      </c>
      <c r="D41" s="5" t="s">
        <v>411</v>
      </c>
      <c r="E41" s="5" t="s">
        <v>375</v>
      </c>
      <c r="F41" s="6">
        <v>49535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49535</v>
      </c>
    </row>
    <row r="42" spans="1:13" ht="24" x14ac:dyDescent="0.4">
      <c r="A42" s="5" t="s">
        <v>342</v>
      </c>
      <c r="B42" s="5" t="s">
        <v>170</v>
      </c>
      <c r="C42" s="5" t="s">
        <v>384</v>
      </c>
      <c r="D42" s="5" t="s">
        <v>445</v>
      </c>
      <c r="E42" s="5" t="s">
        <v>375</v>
      </c>
      <c r="F42" s="6">
        <v>27693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27693</v>
      </c>
    </row>
    <row r="43" spans="1:13" ht="24" x14ac:dyDescent="0.4">
      <c r="A43" s="5" t="s">
        <v>329</v>
      </c>
      <c r="B43" s="5" t="s">
        <v>16</v>
      </c>
      <c r="C43" s="5" t="s">
        <v>384</v>
      </c>
      <c r="D43" s="5" t="s">
        <v>445</v>
      </c>
      <c r="E43" s="5" t="s">
        <v>375</v>
      </c>
      <c r="F43" s="6">
        <v>8956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8956</v>
      </c>
    </row>
    <row r="44" spans="1:13" ht="24" x14ac:dyDescent="0.4">
      <c r="A44" s="5" t="s">
        <v>306</v>
      </c>
      <c r="B44" s="5" t="s">
        <v>49</v>
      </c>
      <c r="C44" s="5" t="s">
        <v>384</v>
      </c>
      <c r="D44" s="5" t="s">
        <v>412</v>
      </c>
      <c r="E44" s="5" t="s">
        <v>404</v>
      </c>
      <c r="F44" s="6">
        <v>19651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19651</v>
      </c>
    </row>
    <row r="45" spans="1:13" ht="24" x14ac:dyDescent="0.4">
      <c r="A45" s="5" t="s">
        <v>240</v>
      </c>
      <c r="B45" s="5" t="s">
        <v>110</v>
      </c>
      <c r="C45" s="5" t="s">
        <v>384</v>
      </c>
      <c r="D45" s="5" t="s">
        <v>397</v>
      </c>
      <c r="E45" s="5" t="s">
        <v>375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</row>
    <row r="46" spans="1:13" ht="24" x14ac:dyDescent="0.4">
      <c r="A46" s="5" t="s">
        <v>285</v>
      </c>
      <c r="B46" s="5" t="s">
        <v>522</v>
      </c>
      <c r="C46" s="5" t="s">
        <v>384</v>
      </c>
      <c r="D46" s="5" t="s">
        <v>538</v>
      </c>
      <c r="E46" s="5" t="s">
        <v>539</v>
      </c>
      <c r="F46" s="6">
        <v>15154</v>
      </c>
      <c r="G46" s="6">
        <v>0</v>
      </c>
      <c r="H46" s="6">
        <v>15154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</row>
    <row r="47" spans="1:13" ht="24" x14ac:dyDescent="0.4">
      <c r="A47" s="5" t="s">
        <v>228</v>
      </c>
      <c r="B47" s="5" t="s">
        <v>119</v>
      </c>
      <c r="C47" s="5" t="s">
        <v>384</v>
      </c>
      <c r="D47" s="5" t="s">
        <v>413</v>
      </c>
      <c r="E47" s="5" t="s">
        <v>375</v>
      </c>
      <c r="F47" s="6">
        <v>22172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22172</v>
      </c>
    </row>
    <row r="48" spans="1:13" ht="24" x14ac:dyDescent="0.4">
      <c r="A48" s="5" t="s">
        <v>330</v>
      </c>
      <c r="B48" s="5" t="s">
        <v>21</v>
      </c>
      <c r="C48" s="5" t="s">
        <v>384</v>
      </c>
      <c r="D48" s="5" t="s">
        <v>413</v>
      </c>
      <c r="E48" s="5" t="s">
        <v>375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</row>
    <row r="49" spans="1:13" ht="24" x14ac:dyDescent="0.4">
      <c r="A49" s="5" t="s">
        <v>225</v>
      </c>
      <c r="B49" s="5" t="s">
        <v>104</v>
      </c>
      <c r="C49" s="5" t="s">
        <v>384</v>
      </c>
      <c r="D49" s="5" t="s">
        <v>413</v>
      </c>
      <c r="E49" s="5" t="s">
        <v>375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</row>
    <row r="50" spans="1:13" ht="24" x14ac:dyDescent="0.4">
      <c r="A50" s="5" t="s">
        <v>269</v>
      </c>
      <c r="B50" s="5" t="s">
        <v>73</v>
      </c>
      <c r="C50" s="5" t="s">
        <v>384</v>
      </c>
      <c r="D50" s="5" t="s">
        <v>555</v>
      </c>
      <c r="E50" s="5" t="s">
        <v>408</v>
      </c>
      <c r="F50" s="6">
        <v>12889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12889</v>
      </c>
    </row>
    <row r="51" spans="1:13" ht="24" x14ac:dyDescent="0.4">
      <c r="A51" s="5" t="s">
        <v>367</v>
      </c>
      <c r="B51" s="5" t="s">
        <v>182</v>
      </c>
      <c r="C51" s="5" t="s">
        <v>384</v>
      </c>
      <c r="D51" s="5" t="s">
        <v>567</v>
      </c>
      <c r="E51" s="5" t="s">
        <v>539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</row>
    <row r="52" spans="1:13" ht="24" x14ac:dyDescent="0.4">
      <c r="A52" s="5" t="s">
        <v>299</v>
      </c>
      <c r="B52" s="5" t="s">
        <v>15</v>
      </c>
      <c r="C52" s="5" t="s">
        <v>384</v>
      </c>
      <c r="D52" s="5" t="s">
        <v>403</v>
      </c>
      <c r="E52" s="5" t="s">
        <v>408</v>
      </c>
      <c r="F52" s="6">
        <v>25674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25674</v>
      </c>
    </row>
    <row r="53" spans="1:13" ht="24" x14ac:dyDescent="0.4">
      <c r="A53" s="5" t="s">
        <v>305</v>
      </c>
      <c r="B53" s="5" t="s">
        <v>56</v>
      </c>
      <c r="C53" s="5" t="s">
        <v>384</v>
      </c>
      <c r="D53" s="5" t="s">
        <v>403</v>
      </c>
      <c r="E53" s="5" t="s">
        <v>408</v>
      </c>
      <c r="F53" s="6">
        <v>21007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21007</v>
      </c>
    </row>
    <row r="54" spans="1:13" ht="24" x14ac:dyDescent="0.4">
      <c r="A54" s="5" t="s">
        <v>226</v>
      </c>
      <c r="B54" s="5" t="s">
        <v>112</v>
      </c>
      <c r="C54" s="5" t="s">
        <v>384</v>
      </c>
      <c r="D54" s="5" t="s">
        <v>547</v>
      </c>
      <c r="E54" s="5" t="s">
        <v>408</v>
      </c>
      <c r="F54" s="6">
        <v>45865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45865</v>
      </c>
    </row>
    <row r="55" spans="1:13" ht="24" x14ac:dyDescent="0.4">
      <c r="A55" s="5" t="s">
        <v>265</v>
      </c>
      <c r="B55" s="5" t="s">
        <v>67</v>
      </c>
      <c r="C55" s="5" t="s">
        <v>406</v>
      </c>
      <c r="D55" s="5" t="s">
        <v>380</v>
      </c>
      <c r="E55" s="5" t="s">
        <v>408</v>
      </c>
      <c r="F55" s="6">
        <v>10586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10586</v>
      </c>
    </row>
    <row r="56" spans="1:13" ht="24" x14ac:dyDescent="0.4">
      <c r="A56" s="5" t="s">
        <v>257</v>
      </c>
      <c r="B56" s="5" t="s">
        <v>96</v>
      </c>
      <c r="C56" s="5" t="s">
        <v>384</v>
      </c>
      <c r="D56" s="5" t="s">
        <v>380</v>
      </c>
      <c r="E56" s="5" t="s">
        <v>408</v>
      </c>
      <c r="F56" s="6">
        <v>55479</v>
      </c>
      <c r="G56" s="6">
        <v>0</v>
      </c>
      <c r="H56" s="6">
        <v>55479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</row>
    <row r="57" spans="1:13" ht="24" x14ac:dyDescent="0.4">
      <c r="A57" s="5" t="s">
        <v>261</v>
      </c>
      <c r="B57" s="5" t="s">
        <v>70</v>
      </c>
      <c r="C57" s="5" t="s">
        <v>384</v>
      </c>
      <c r="D57" s="5" t="s">
        <v>380</v>
      </c>
      <c r="E57" s="5" t="s">
        <v>408</v>
      </c>
      <c r="F57" s="6">
        <v>48229</v>
      </c>
      <c r="G57" s="6">
        <v>0</v>
      </c>
      <c r="H57" s="6">
        <v>23457</v>
      </c>
      <c r="I57" s="6">
        <v>0</v>
      </c>
      <c r="J57" s="6">
        <v>0</v>
      </c>
      <c r="K57" s="6">
        <v>24772</v>
      </c>
      <c r="L57" s="6">
        <v>0</v>
      </c>
      <c r="M57" s="6">
        <v>0</v>
      </c>
    </row>
    <row r="58" spans="1:13" ht="24" x14ac:dyDescent="0.4">
      <c r="A58" s="5" t="s">
        <v>254</v>
      </c>
      <c r="B58" s="5" t="s">
        <v>86</v>
      </c>
      <c r="C58" s="5" t="s">
        <v>384</v>
      </c>
      <c r="D58" s="5" t="s">
        <v>380</v>
      </c>
      <c r="E58" s="5" t="s">
        <v>408</v>
      </c>
      <c r="F58" s="6">
        <v>43224</v>
      </c>
      <c r="G58" s="6">
        <v>0</v>
      </c>
      <c r="H58" s="6">
        <v>0</v>
      </c>
      <c r="I58" s="6">
        <v>0</v>
      </c>
      <c r="J58" s="6">
        <v>0</v>
      </c>
      <c r="K58" s="6">
        <v>40617</v>
      </c>
      <c r="L58" s="6">
        <v>0</v>
      </c>
      <c r="M58" s="6">
        <v>2607</v>
      </c>
    </row>
    <row r="59" spans="1:13" ht="24" x14ac:dyDescent="0.4">
      <c r="A59" s="5" t="s">
        <v>465</v>
      </c>
      <c r="B59" s="5" t="s">
        <v>458</v>
      </c>
      <c r="C59" s="5" t="s">
        <v>384</v>
      </c>
      <c r="D59" s="5" t="s">
        <v>380</v>
      </c>
      <c r="E59" s="5" t="s">
        <v>408</v>
      </c>
      <c r="F59" s="6">
        <v>42434</v>
      </c>
      <c r="G59" s="6">
        <v>0</v>
      </c>
      <c r="H59" s="6">
        <v>42340</v>
      </c>
      <c r="I59" s="6">
        <v>0</v>
      </c>
      <c r="J59" s="6">
        <v>0</v>
      </c>
      <c r="K59" s="6">
        <v>94</v>
      </c>
      <c r="L59" s="6">
        <v>0</v>
      </c>
      <c r="M59" s="6">
        <v>0</v>
      </c>
    </row>
    <row r="60" spans="1:13" ht="24" x14ac:dyDescent="0.4">
      <c r="A60" s="5" t="s">
        <v>251</v>
      </c>
      <c r="B60" s="5" t="s">
        <v>84</v>
      </c>
      <c r="C60" s="5" t="s">
        <v>384</v>
      </c>
      <c r="D60" s="5" t="s">
        <v>380</v>
      </c>
      <c r="E60" s="5" t="s">
        <v>408</v>
      </c>
      <c r="F60" s="6">
        <v>25686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25686</v>
      </c>
    </row>
    <row r="61" spans="1:13" ht="24" x14ac:dyDescent="0.4">
      <c r="A61" s="5" t="s">
        <v>298</v>
      </c>
      <c r="B61" s="5" t="s">
        <v>43</v>
      </c>
      <c r="C61" s="5" t="s">
        <v>384</v>
      </c>
      <c r="D61" s="5" t="s">
        <v>380</v>
      </c>
      <c r="E61" s="5" t="s">
        <v>408</v>
      </c>
      <c r="F61" s="6">
        <v>15758</v>
      </c>
      <c r="G61" s="6">
        <v>0</v>
      </c>
      <c r="H61" s="6">
        <v>0</v>
      </c>
      <c r="I61" s="6">
        <v>9792</v>
      </c>
      <c r="J61" s="6">
        <v>0</v>
      </c>
      <c r="K61" s="6">
        <v>0</v>
      </c>
      <c r="L61" s="6">
        <v>0</v>
      </c>
      <c r="M61" s="6">
        <v>5966</v>
      </c>
    </row>
    <row r="62" spans="1:13" ht="24" x14ac:dyDescent="0.4">
      <c r="A62" s="5" t="s">
        <v>276</v>
      </c>
      <c r="B62" s="5" t="s">
        <v>78</v>
      </c>
      <c r="C62" s="5" t="s">
        <v>384</v>
      </c>
      <c r="D62" s="5" t="s">
        <v>380</v>
      </c>
      <c r="E62" s="5" t="s">
        <v>408</v>
      </c>
      <c r="F62" s="6">
        <v>65159</v>
      </c>
      <c r="G62" s="6">
        <v>44439</v>
      </c>
      <c r="H62" s="6">
        <v>0</v>
      </c>
      <c r="I62" s="6">
        <v>0</v>
      </c>
      <c r="J62" s="6">
        <v>0</v>
      </c>
      <c r="K62" s="6">
        <v>20720</v>
      </c>
      <c r="L62" s="6">
        <v>0</v>
      </c>
      <c r="M62" s="6">
        <v>0</v>
      </c>
    </row>
    <row r="63" spans="1:13" ht="24" x14ac:dyDescent="0.4">
      <c r="A63" s="5" t="s">
        <v>270</v>
      </c>
      <c r="B63" s="5" t="s">
        <v>90</v>
      </c>
      <c r="C63" s="5" t="s">
        <v>384</v>
      </c>
      <c r="D63" s="5" t="s">
        <v>380</v>
      </c>
      <c r="E63" s="5" t="s">
        <v>408</v>
      </c>
      <c r="F63" s="6">
        <v>2144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2144</v>
      </c>
    </row>
    <row r="64" spans="1:13" ht="24" x14ac:dyDescent="0.4">
      <c r="A64" s="5" t="s">
        <v>277</v>
      </c>
      <c r="B64" s="5" t="s">
        <v>87</v>
      </c>
      <c r="C64" s="5" t="s">
        <v>384</v>
      </c>
      <c r="D64" s="5" t="s">
        <v>380</v>
      </c>
      <c r="E64" s="5" t="s">
        <v>408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</row>
    <row r="65" spans="1:13" ht="24" x14ac:dyDescent="0.4">
      <c r="A65" s="5" t="s">
        <v>279</v>
      </c>
      <c r="B65" s="5" t="s">
        <v>81</v>
      </c>
      <c r="C65" s="5" t="s">
        <v>384</v>
      </c>
      <c r="D65" s="5" t="s">
        <v>380</v>
      </c>
      <c r="E65" s="5" t="s">
        <v>408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</row>
    <row r="66" spans="1:13" ht="24" x14ac:dyDescent="0.4">
      <c r="A66" s="5" t="s">
        <v>280</v>
      </c>
      <c r="B66" s="5" t="s">
        <v>91</v>
      </c>
      <c r="C66" s="5" t="s">
        <v>384</v>
      </c>
      <c r="D66" s="5" t="s">
        <v>380</v>
      </c>
      <c r="E66" s="5" t="s">
        <v>408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</row>
    <row r="67" spans="1:13" ht="24" x14ac:dyDescent="0.4">
      <c r="A67" s="5" t="s">
        <v>354</v>
      </c>
      <c r="B67" s="5" t="s">
        <v>165</v>
      </c>
      <c r="C67" s="5" t="s">
        <v>384</v>
      </c>
      <c r="D67" s="5" t="s">
        <v>419</v>
      </c>
      <c r="E67" s="5" t="s">
        <v>539</v>
      </c>
      <c r="F67" s="6">
        <v>7070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7070</v>
      </c>
    </row>
    <row r="68" spans="1:13" ht="24" x14ac:dyDescent="0.4">
      <c r="A68" s="5" t="s">
        <v>273</v>
      </c>
      <c r="B68" s="5" t="s">
        <v>79</v>
      </c>
      <c r="C68" s="5" t="s">
        <v>384</v>
      </c>
      <c r="D68" s="5" t="s">
        <v>419</v>
      </c>
      <c r="E68" s="5" t="s">
        <v>539</v>
      </c>
      <c r="F68" s="6">
        <v>1323</v>
      </c>
      <c r="G68" s="6">
        <v>0</v>
      </c>
      <c r="H68" s="6">
        <v>0</v>
      </c>
      <c r="I68" s="6">
        <v>1323</v>
      </c>
      <c r="J68" s="6">
        <v>0</v>
      </c>
      <c r="K68" s="6">
        <v>0</v>
      </c>
      <c r="L68" s="6">
        <v>0</v>
      </c>
      <c r="M68" s="6">
        <v>0</v>
      </c>
    </row>
    <row r="69" spans="1:13" ht="24" x14ac:dyDescent="0.4">
      <c r="A69" s="5" t="s">
        <v>213</v>
      </c>
      <c r="B69" s="5" t="s">
        <v>155</v>
      </c>
      <c r="C69" s="5" t="s">
        <v>384</v>
      </c>
      <c r="D69" s="5" t="s">
        <v>419</v>
      </c>
      <c r="E69" s="5" t="s">
        <v>539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</row>
    <row r="70" spans="1:13" ht="24" x14ac:dyDescent="0.4">
      <c r="A70" s="5" t="s">
        <v>219</v>
      </c>
      <c r="B70" s="5" t="s">
        <v>131</v>
      </c>
      <c r="C70" s="5" t="s">
        <v>384</v>
      </c>
      <c r="D70" s="5" t="s">
        <v>419</v>
      </c>
      <c r="E70" s="5" t="s">
        <v>539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</row>
    <row r="71" spans="1:13" ht="24" x14ac:dyDescent="0.4">
      <c r="A71" s="5" t="s">
        <v>207</v>
      </c>
      <c r="B71" s="5" t="s">
        <v>135</v>
      </c>
      <c r="C71" s="5" t="s">
        <v>384</v>
      </c>
      <c r="D71" s="5" t="s">
        <v>419</v>
      </c>
      <c r="E71" s="5" t="s">
        <v>408</v>
      </c>
      <c r="F71" s="6">
        <v>6172.98</v>
      </c>
      <c r="G71" s="6">
        <v>0</v>
      </c>
      <c r="H71" s="6">
        <v>0</v>
      </c>
      <c r="I71" s="6">
        <v>4347</v>
      </c>
      <c r="J71" s="6">
        <v>0</v>
      </c>
      <c r="K71" s="6">
        <v>0</v>
      </c>
      <c r="L71" s="6">
        <v>0</v>
      </c>
      <c r="M71" s="6">
        <v>1825.98</v>
      </c>
    </row>
    <row r="72" spans="1:13" ht="24" x14ac:dyDescent="0.4">
      <c r="A72" s="5" t="s">
        <v>220</v>
      </c>
      <c r="B72" s="5" t="s">
        <v>116</v>
      </c>
      <c r="C72" s="5" t="s">
        <v>384</v>
      </c>
      <c r="D72" s="5" t="s">
        <v>419</v>
      </c>
      <c r="E72" s="5" t="s">
        <v>375</v>
      </c>
      <c r="F72" s="6">
        <v>130080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130080</v>
      </c>
    </row>
    <row r="73" spans="1:13" ht="24" x14ac:dyDescent="0.4">
      <c r="A73" s="5" t="s">
        <v>313</v>
      </c>
      <c r="B73" s="5" t="s">
        <v>34</v>
      </c>
      <c r="C73" s="5" t="s">
        <v>384</v>
      </c>
      <c r="D73" s="5" t="s">
        <v>419</v>
      </c>
      <c r="E73" s="5" t="s">
        <v>375</v>
      </c>
      <c r="F73" s="6">
        <v>8500</v>
      </c>
      <c r="G73" s="6">
        <v>0</v>
      </c>
      <c r="H73" s="6">
        <v>0</v>
      </c>
      <c r="I73" s="6">
        <v>0</v>
      </c>
      <c r="J73" s="6">
        <v>0</v>
      </c>
      <c r="K73" s="6">
        <v>8500</v>
      </c>
      <c r="L73" s="6">
        <v>0</v>
      </c>
      <c r="M73" s="6">
        <v>0</v>
      </c>
    </row>
    <row r="74" spans="1:13" ht="24" x14ac:dyDescent="0.4">
      <c r="A74" s="5" t="s">
        <v>366</v>
      </c>
      <c r="B74" s="5" t="s">
        <v>178</v>
      </c>
      <c r="C74" s="5" t="s">
        <v>406</v>
      </c>
      <c r="D74" s="5" t="s">
        <v>448</v>
      </c>
      <c r="E74" s="5" t="s">
        <v>484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</row>
    <row r="75" spans="1:13" ht="24" x14ac:dyDescent="0.4">
      <c r="A75" s="5" t="s">
        <v>363</v>
      </c>
      <c r="B75" s="5" t="s">
        <v>176</v>
      </c>
      <c r="C75" s="5" t="s">
        <v>384</v>
      </c>
      <c r="D75" s="5" t="s">
        <v>448</v>
      </c>
      <c r="E75" s="5" t="s">
        <v>484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</row>
    <row r="76" spans="1:13" ht="24" x14ac:dyDescent="0.4">
      <c r="A76" s="5" t="s">
        <v>372</v>
      </c>
      <c r="B76" s="5" t="s">
        <v>161</v>
      </c>
      <c r="C76" s="5" t="s">
        <v>384</v>
      </c>
      <c r="D76" s="5" t="s">
        <v>449</v>
      </c>
      <c r="E76" s="5" t="s">
        <v>484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</row>
    <row r="77" spans="1:13" ht="24" x14ac:dyDescent="0.4">
      <c r="A77" s="5" t="s">
        <v>236</v>
      </c>
      <c r="B77" s="5" t="s">
        <v>121</v>
      </c>
      <c r="C77" s="5" t="s">
        <v>384</v>
      </c>
      <c r="D77" s="5" t="s">
        <v>443</v>
      </c>
      <c r="E77" s="5" t="s">
        <v>375</v>
      </c>
      <c r="F77" s="6">
        <v>13949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13949</v>
      </c>
    </row>
    <row r="78" spans="1:13" ht="24" x14ac:dyDescent="0.4">
      <c r="A78" s="5" t="s">
        <v>219</v>
      </c>
      <c r="B78" s="5" t="s">
        <v>498</v>
      </c>
      <c r="C78" s="5" t="s">
        <v>384</v>
      </c>
      <c r="D78" s="5" t="s">
        <v>552</v>
      </c>
      <c r="E78" s="5" t="s">
        <v>539</v>
      </c>
      <c r="F78" s="6">
        <v>18978</v>
      </c>
      <c r="G78" s="6">
        <v>0</v>
      </c>
      <c r="H78" s="6">
        <v>0</v>
      </c>
      <c r="I78" s="6">
        <v>18978</v>
      </c>
      <c r="J78" s="6">
        <v>0</v>
      </c>
      <c r="K78" s="6">
        <v>0</v>
      </c>
      <c r="L78" s="6">
        <v>0</v>
      </c>
      <c r="M78" s="6">
        <v>0</v>
      </c>
    </row>
    <row r="79" spans="1:13" ht="24" x14ac:dyDescent="0.4">
      <c r="A79" s="5" t="s">
        <v>232</v>
      </c>
      <c r="B79" s="5" t="s">
        <v>123</v>
      </c>
      <c r="C79" s="5" t="s">
        <v>384</v>
      </c>
      <c r="D79" s="5" t="s">
        <v>569</v>
      </c>
      <c r="E79" s="5" t="s">
        <v>539</v>
      </c>
      <c r="F79" s="6">
        <v>20180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20180</v>
      </c>
    </row>
    <row r="80" spans="1:13" ht="24" x14ac:dyDescent="0.4">
      <c r="A80" s="5" t="s">
        <v>278</v>
      </c>
      <c r="B80" s="5" t="s">
        <v>82</v>
      </c>
      <c r="C80" s="5" t="s">
        <v>385</v>
      </c>
      <c r="D80" s="5" t="s">
        <v>440</v>
      </c>
      <c r="E80" s="5" t="s">
        <v>539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</row>
    <row r="81" spans="1:13" ht="24" x14ac:dyDescent="0.4">
      <c r="A81" s="5" t="s">
        <v>225</v>
      </c>
      <c r="B81" s="5" t="s">
        <v>523</v>
      </c>
      <c r="C81" s="5" t="s">
        <v>384</v>
      </c>
      <c r="D81" s="5" t="s">
        <v>542</v>
      </c>
      <c r="E81" s="5" t="s">
        <v>375</v>
      </c>
      <c r="F81" s="6">
        <v>6497</v>
      </c>
      <c r="G81" s="6">
        <v>0</v>
      </c>
      <c r="H81" s="6">
        <v>6497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</row>
    <row r="82" spans="1:13" ht="24" x14ac:dyDescent="0.4">
      <c r="A82" s="5" t="s">
        <v>345</v>
      </c>
      <c r="B82" s="5" t="s">
        <v>171</v>
      </c>
      <c r="C82" s="5" t="s">
        <v>384</v>
      </c>
      <c r="D82" s="5" t="s">
        <v>542</v>
      </c>
      <c r="E82" s="5" t="s">
        <v>375</v>
      </c>
      <c r="F82" s="6">
        <v>6131</v>
      </c>
      <c r="G82" s="6">
        <v>0</v>
      </c>
      <c r="H82" s="6">
        <v>0</v>
      </c>
      <c r="I82" s="6">
        <v>0</v>
      </c>
      <c r="J82" s="6">
        <v>5712</v>
      </c>
      <c r="K82" s="6">
        <v>0</v>
      </c>
      <c r="L82" s="6">
        <v>0</v>
      </c>
      <c r="M82" s="6">
        <v>419</v>
      </c>
    </row>
    <row r="83" spans="1:13" ht="24" x14ac:dyDescent="0.4">
      <c r="A83" s="5" t="s">
        <v>328</v>
      </c>
      <c r="B83" s="5" t="s">
        <v>46</v>
      </c>
      <c r="C83" s="5" t="s">
        <v>383</v>
      </c>
      <c r="D83" s="5" t="s">
        <v>401</v>
      </c>
      <c r="E83" s="5" t="s">
        <v>375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</row>
    <row r="84" spans="1:13" ht="24" x14ac:dyDescent="0.4">
      <c r="A84" s="5" t="s">
        <v>316</v>
      </c>
      <c r="B84" s="5" t="s">
        <v>11</v>
      </c>
      <c r="C84" s="5" t="s">
        <v>383</v>
      </c>
      <c r="D84" s="5" t="s">
        <v>401</v>
      </c>
      <c r="E84" s="5" t="s">
        <v>375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</row>
    <row r="85" spans="1:13" ht="24" x14ac:dyDescent="0.4">
      <c r="A85" s="5" t="s">
        <v>289</v>
      </c>
      <c r="B85" s="5" t="s">
        <v>30</v>
      </c>
      <c r="C85" s="5" t="s">
        <v>384</v>
      </c>
      <c r="D85" s="5" t="s">
        <v>401</v>
      </c>
      <c r="E85" s="5" t="s">
        <v>375</v>
      </c>
      <c r="F85" s="6">
        <v>50256</v>
      </c>
      <c r="G85" s="6">
        <v>0</v>
      </c>
      <c r="H85" s="6">
        <v>0</v>
      </c>
      <c r="I85" s="6">
        <v>15000</v>
      </c>
      <c r="J85" s="6">
        <v>0</v>
      </c>
      <c r="K85" s="6">
        <v>0</v>
      </c>
      <c r="L85" s="6">
        <v>0</v>
      </c>
      <c r="M85" s="6">
        <v>35256</v>
      </c>
    </row>
    <row r="86" spans="1:13" ht="24" x14ac:dyDescent="0.4">
      <c r="A86" s="5" t="s">
        <v>371</v>
      </c>
      <c r="B86" s="5" t="s">
        <v>179</v>
      </c>
      <c r="C86" s="5" t="s">
        <v>384</v>
      </c>
      <c r="D86" s="5" t="s">
        <v>417</v>
      </c>
      <c r="E86" s="5" t="s">
        <v>484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</row>
    <row r="87" spans="1:13" ht="24" x14ac:dyDescent="0.4">
      <c r="A87" s="5" t="s">
        <v>288</v>
      </c>
      <c r="B87" s="5" t="s">
        <v>19</v>
      </c>
      <c r="C87" s="5" t="s">
        <v>384</v>
      </c>
      <c r="D87" s="5" t="s">
        <v>417</v>
      </c>
      <c r="E87" s="5" t="s">
        <v>539</v>
      </c>
      <c r="F87" s="6">
        <v>45998.02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45998.02</v>
      </c>
    </row>
    <row r="88" spans="1:13" ht="24" x14ac:dyDescent="0.4">
      <c r="A88" s="5" t="s">
        <v>224</v>
      </c>
      <c r="B88" s="5" t="s">
        <v>122</v>
      </c>
      <c r="C88" s="5" t="s">
        <v>384</v>
      </c>
      <c r="D88" s="5" t="s">
        <v>535</v>
      </c>
      <c r="E88" s="5" t="s">
        <v>539</v>
      </c>
      <c r="F88" s="6">
        <v>58324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58324</v>
      </c>
    </row>
    <row r="89" spans="1:13" ht="24" x14ac:dyDescent="0.4">
      <c r="A89" s="5" t="s">
        <v>233</v>
      </c>
      <c r="B89" s="5" t="s">
        <v>113</v>
      </c>
      <c r="C89" s="5" t="s">
        <v>384</v>
      </c>
      <c r="D89" s="5" t="s">
        <v>535</v>
      </c>
      <c r="E89" s="5" t="s">
        <v>539</v>
      </c>
      <c r="F89" s="6">
        <v>18533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18533</v>
      </c>
    </row>
    <row r="90" spans="1:13" ht="24" x14ac:dyDescent="0.4">
      <c r="A90" s="5" t="s">
        <v>302</v>
      </c>
      <c r="B90" s="5" t="s">
        <v>32</v>
      </c>
      <c r="C90" s="5" t="s">
        <v>384</v>
      </c>
      <c r="D90" s="5" t="s">
        <v>535</v>
      </c>
      <c r="E90" s="5" t="s">
        <v>539</v>
      </c>
      <c r="F90" s="6">
        <v>18436.12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18436.12</v>
      </c>
    </row>
    <row r="91" spans="1:13" ht="24" x14ac:dyDescent="0.4">
      <c r="A91" s="5" t="s">
        <v>291</v>
      </c>
      <c r="B91" s="5" t="s">
        <v>12</v>
      </c>
      <c r="C91" s="5" t="s">
        <v>384</v>
      </c>
      <c r="D91" s="5" t="s">
        <v>535</v>
      </c>
      <c r="E91" s="5" t="s">
        <v>539</v>
      </c>
      <c r="F91" s="6">
        <v>27631</v>
      </c>
      <c r="G91" s="6">
        <v>27631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</row>
    <row r="92" spans="1:13" ht="24" x14ac:dyDescent="0.4">
      <c r="A92" s="5" t="s">
        <v>241</v>
      </c>
      <c r="B92" s="5" t="s">
        <v>109</v>
      </c>
      <c r="C92" s="5" t="s">
        <v>384</v>
      </c>
      <c r="D92" s="5" t="s">
        <v>535</v>
      </c>
      <c r="E92" s="5" t="s">
        <v>539</v>
      </c>
      <c r="F92" s="6">
        <v>4435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4435</v>
      </c>
    </row>
    <row r="93" spans="1:13" ht="24" x14ac:dyDescent="0.4">
      <c r="A93" s="5" t="s">
        <v>201</v>
      </c>
      <c r="B93" s="5" t="s">
        <v>146</v>
      </c>
      <c r="C93" s="5" t="s">
        <v>384</v>
      </c>
      <c r="D93" s="5" t="s">
        <v>535</v>
      </c>
      <c r="E93" s="5" t="s">
        <v>539</v>
      </c>
      <c r="F93" s="6">
        <v>5462</v>
      </c>
      <c r="G93" s="6">
        <v>5462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</row>
    <row r="94" spans="1:13" ht="24" x14ac:dyDescent="0.4">
      <c r="A94" s="5" t="s">
        <v>348</v>
      </c>
      <c r="B94" s="5" t="s">
        <v>172</v>
      </c>
      <c r="C94" s="5" t="s">
        <v>384</v>
      </c>
      <c r="D94" s="5" t="s">
        <v>418</v>
      </c>
      <c r="E94" s="5" t="s">
        <v>408</v>
      </c>
      <c r="F94" s="6">
        <v>13500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13500</v>
      </c>
    </row>
    <row r="95" spans="1:13" ht="24" x14ac:dyDescent="0.4">
      <c r="A95" s="5" t="s">
        <v>464</v>
      </c>
      <c r="B95" s="5" t="s">
        <v>452</v>
      </c>
      <c r="C95" s="5" t="s">
        <v>384</v>
      </c>
      <c r="D95" s="5" t="s">
        <v>535</v>
      </c>
      <c r="E95" s="5" t="s">
        <v>375</v>
      </c>
      <c r="F95" s="6">
        <v>42180</v>
      </c>
      <c r="G95" s="6">
        <v>42180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</row>
    <row r="96" spans="1:13" ht="24" x14ac:dyDescent="0.4">
      <c r="A96" s="5" t="s">
        <v>371</v>
      </c>
      <c r="B96" s="5" t="s">
        <v>495</v>
      </c>
      <c r="C96" s="5" t="s">
        <v>384</v>
      </c>
      <c r="D96" s="5" t="s">
        <v>381</v>
      </c>
      <c r="E96" s="5" t="s">
        <v>484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</row>
    <row r="97" spans="1:13" ht="24" x14ac:dyDescent="0.4">
      <c r="A97" s="5" t="s">
        <v>249</v>
      </c>
      <c r="B97" s="5" t="s">
        <v>494</v>
      </c>
      <c r="C97" s="5" t="s">
        <v>384</v>
      </c>
      <c r="D97" s="5" t="s">
        <v>381</v>
      </c>
      <c r="E97" s="5" t="s">
        <v>484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</row>
    <row r="98" spans="1:13" ht="24" x14ac:dyDescent="0.4">
      <c r="A98" s="5" t="s">
        <v>353</v>
      </c>
      <c r="B98" s="5" t="s">
        <v>185</v>
      </c>
      <c r="C98" s="5" t="s">
        <v>384</v>
      </c>
      <c r="D98" s="5" t="s">
        <v>381</v>
      </c>
      <c r="E98" s="5" t="s">
        <v>484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</row>
    <row r="99" spans="1:13" ht="24" x14ac:dyDescent="0.4">
      <c r="A99" s="5" t="s">
        <v>352</v>
      </c>
      <c r="B99" s="5" t="s">
        <v>180</v>
      </c>
      <c r="C99" s="5" t="s">
        <v>384</v>
      </c>
      <c r="D99" s="5" t="s">
        <v>381</v>
      </c>
      <c r="E99" s="5" t="s">
        <v>539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</row>
    <row r="100" spans="1:13" ht="24" x14ac:dyDescent="0.4">
      <c r="A100" s="5" t="s">
        <v>245</v>
      </c>
      <c r="B100" s="5" t="s">
        <v>74</v>
      </c>
      <c r="C100" s="5" t="s">
        <v>384</v>
      </c>
      <c r="D100" s="5" t="s">
        <v>381</v>
      </c>
      <c r="E100" s="5" t="s">
        <v>408</v>
      </c>
      <c r="F100" s="6">
        <v>51600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51600</v>
      </c>
    </row>
    <row r="101" spans="1:13" ht="24" x14ac:dyDescent="0.4">
      <c r="A101" s="5" t="s">
        <v>516</v>
      </c>
      <c r="B101" s="5" t="s">
        <v>512</v>
      </c>
      <c r="C101" s="5" t="s">
        <v>384</v>
      </c>
      <c r="D101" s="5" t="s">
        <v>381</v>
      </c>
      <c r="E101" s="5" t="s">
        <v>408</v>
      </c>
      <c r="F101" s="6">
        <v>26974</v>
      </c>
      <c r="G101" s="6">
        <v>0</v>
      </c>
      <c r="H101" s="6">
        <v>26974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</row>
    <row r="102" spans="1:13" ht="24" x14ac:dyDescent="0.4">
      <c r="A102" s="5" t="s">
        <v>371</v>
      </c>
      <c r="B102" s="5" t="s">
        <v>497</v>
      </c>
      <c r="C102" s="5" t="s">
        <v>384</v>
      </c>
      <c r="D102" s="5" t="s">
        <v>381</v>
      </c>
      <c r="E102" s="5" t="s">
        <v>408</v>
      </c>
      <c r="F102" s="6">
        <v>13000</v>
      </c>
      <c r="G102" s="6">
        <v>0</v>
      </c>
      <c r="H102" s="6">
        <v>0</v>
      </c>
      <c r="I102" s="6">
        <v>13000</v>
      </c>
      <c r="J102" s="6">
        <v>0</v>
      </c>
      <c r="K102" s="6">
        <v>0</v>
      </c>
      <c r="L102" s="6">
        <v>0</v>
      </c>
      <c r="M102" s="6">
        <v>0</v>
      </c>
    </row>
    <row r="103" spans="1:13" ht="24" x14ac:dyDescent="0.4">
      <c r="A103" s="5" t="s">
        <v>514</v>
      </c>
      <c r="B103" s="5" t="s">
        <v>461</v>
      </c>
      <c r="C103" s="5" t="s">
        <v>384</v>
      </c>
      <c r="D103" s="5" t="s">
        <v>381</v>
      </c>
      <c r="E103" s="5" t="s">
        <v>408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</row>
    <row r="104" spans="1:13" ht="24" x14ac:dyDescent="0.4">
      <c r="A104" s="5" t="s">
        <v>515</v>
      </c>
      <c r="B104" s="5" t="s">
        <v>456</v>
      </c>
      <c r="C104" s="5" t="s">
        <v>384</v>
      </c>
      <c r="D104" s="5" t="s">
        <v>381</v>
      </c>
      <c r="E104" s="5" t="s">
        <v>408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</row>
    <row r="105" spans="1:13" ht="24" x14ac:dyDescent="0.4">
      <c r="A105" s="5" t="s">
        <v>493</v>
      </c>
      <c r="B105" s="5" t="s">
        <v>490</v>
      </c>
      <c r="C105" s="5" t="s">
        <v>384</v>
      </c>
      <c r="D105" s="5" t="s">
        <v>384</v>
      </c>
      <c r="E105" s="5" t="s">
        <v>539</v>
      </c>
      <c r="F105" s="6">
        <v>370213</v>
      </c>
      <c r="G105" s="6">
        <v>54016</v>
      </c>
      <c r="H105" s="6">
        <v>124362</v>
      </c>
      <c r="I105" s="6">
        <v>0</v>
      </c>
      <c r="J105" s="6">
        <v>55990</v>
      </c>
      <c r="K105" s="6">
        <v>0</v>
      </c>
      <c r="L105" s="6">
        <v>47220</v>
      </c>
      <c r="M105" s="6">
        <v>74125</v>
      </c>
    </row>
    <row r="106" spans="1:13" ht="24" x14ac:dyDescent="0.4">
      <c r="A106" s="5" t="s">
        <v>221</v>
      </c>
      <c r="B106" s="5" t="s">
        <v>107</v>
      </c>
      <c r="C106" s="5" t="s">
        <v>384</v>
      </c>
      <c r="D106" s="5" t="s">
        <v>425</v>
      </c>
      <c r="E106" s="5" t="s">
        <v>375</v>
      </c>
      <c r="F106" s="6">
        <v>35581</v>
      </c>
      <c r="G106" s="6">
        <v>0</v>
      </c>
      <c r="H106" s="6">
        <v>12995</v>
      </c>
      <c r="I106" s="6">
        <v>0</v>
      </c>
      <c r="J106" s="6">
        <v>0</v>
      </c>
      <c r="K106" s="6">
        <v>0</v>
      </c>
      <c r="L106" s="6">
        <v>0</v>
      </c>
      <c r="M106" s="6">
        <v>22586</v>
      </c>
    </row>
    <row r="107" spans="1:13" ht="24" x14ac:dyDescent="0.4">
      <c r="A107" s="5" t="s">
        <v>215</v>
      </c>
      <c r="B107" s="5" t="s">
        <v>144</v>
      </c>
      <c r="C107" s="5" t="s">
        <v>384</v>
      </c>
      <c r="D107" s="5" t="s">
        <v>425</v>
      </c>
      <c r="E107" s="5" t="s">
        <v>375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</row>
    <row r="108" spans="1:13" ht="24" x14ac:dyDescent="0.4">
      <c r="A108" s="5" t="s">
        <v>211</v>
      </c>
      <c r="B108" s="5" t="s">
        <v>134</v>
      </c>
      <c r="C108" s="5" t="s">
        <v>384</v>
      </c>
      <c r="D108" s="5" t="s">
        <v>424</v>
      </c>
      <c r="E108" s="5" t="s">
        <v>375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</row>
    <row r="109" spans="1:13" ht="24" x14ac:dyDescent="0.4">
      <c r="A109" s="5" t="s">
        <v>216</v>
      </c>
      <c r="B109" s="5" t="s">
        <v>129</v>
      </c>
      <c r="C109" s="5" t="s">
        <v>406</v>
      </c>
      <c r="D109" s="5" t="s">
        <v>392</v>
      </c>
      <c r="E109" s="5" t="s">
        <v>539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</row>
    <row r="110" spans="1:13" ht="24" x14ac:dyDescent="0.4">
      <c r="A110" s="5" t="s">
        <v>338</v>
      </c>
      <c r="B110" s="5" t="s">
        <v>168</v>
      </c>
      <c r="C110" s="5" t="s">
        <v>384</v>
      </c>
      <c r="D110" s="5" t="s">
        <v>392</v>
      </c>
      <c r="E110" s="5" t="s">
        <v>539</v>
      </c>
      <c r="F110" s="6">
        <v>52910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52910</v>
      </c>
    </row>
    <row r="111" spans="1:13" ht="24" x14ac:dyDescent="0.4">
      <c r="A111" s="5" t="s">
        <v>202</v>
      </c>
      <c r="B111" s="5" t="s">
        <v>148</v>
      </c>
      <c r="C111" s="5" t="s">
        <v>384</v>
      </c>
      <c r="D111" s="5" t="s">
        <v>392</v>
      </c>
      <c r="E111" s="5" t="s">
        <v>539</v>
      </c>
      <c r="F111" s="6">
        <v>43455</v>
      </c>
      <c r="G111" s="6">
        <v>0</v>
      </c>
      <c r="H111" s="6">
        <v>0</v>
      </c>
      <c r="I111" s="6">
        <v>0</v>
      </c>
      <c r="J111" s="6">
        <v>15538</v>
      </c>
      <c r="K111" s="6">
        <v>0</v>
      </c>
      <c r="L111" s="6">
        <v>27917</v>
      </c>
      <c r="M111" s="6">
        <v>0</v>
      </c>
    </row>
    <row r="112" spans="1:13" ht="24" x14ac:dyDescent="0.4">
      <c r="A112" s="5" t="s">
        <v>260</v>
      </c>
      <c r="B112" s="5" t="s">
        <v>85</v>
      </c>
      <c r="C112" s="5" t="s">
        <v>384</v>
      </c>
      <c r="D112" s="5" t="s">
        <v>392</v>
      </c>
      <c r="E112" s="5" t="s">
        <v>408</v>
      </c>
      <c r="F112" s="6">
        <v>302</v>
      </c>
      <c r="G112" s="6">
        <v>0</v>
      </c>
      <c r="H112" s="6">
        <v>0</v>
      </c>
      <c r="I112" s="6">
        <v>0</v>
      </c>
      <c r="J112" s="6">
        <v>302</v>
      </c>
      <c r="K112" s="6">
        <v>0</v>
      </c>
      <c r="L112" s="6">
        <v>0</v>
      </c>
      <c r="M112" s="6">
        <v>0</v>
      </c>
    </row>
    <row r="113" spans="1:13" ht="24" x14ac:dyDescent="0.4">
      <c r="A113" s="5" t="s">
        <v>255</v>
      </c>
      <c r="B113" s="5" t="s">
        <v>93</v>
      </c>
      <c r="C113" s="5" t="s">
        <v>384</v>
      </c>
      <c r="D113" s="5" t="s">
        <v>393</v>
      </c>
      <c r="E113" s="5" t="s">
        <v>408</v>
      </c>
      <c r="F113" s="6">
        <v>9600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9600</v>
      </c>
    </row>
    <row r="114" spans="1:13" ht="24" x14ac:dyDescent="0.4">
      <c r="A114" s="5" t="s">
        <v>198</v>
      </c>
      <c r="B114" s="5" t="s">
        <v>149</v>
      </c>
      <c r="C114" s="5" t="s">
        <v>384</v>
      </c>
      <c r="D114" s="5" t="s">
        <v>566</v>
      </c>
      <c r="E114" s="5" t="s">
        <v>539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</row>
    <row r="115" spans="1:13" ht="24" x14ac:dyDescent="0.4">
      <c r="A115" s="5" t="s">
        <v>372</v>
      </c>
      <c r="B115" s="5" t="s">
        <v>496</v>
      </c>
      <c r="C115" s="5" t="s">
        <v>384</v>
      </c>
      <c r="D115" s="5" t="s">
        <v>564</v>
      </c>
      <c r="E115" s="5" t="s">
        <v>539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</row>
    <row r="116" spans="1:13" ht="24" x14ac:dyDescent="0.4">
      <c r="A116" s="5" t="s">
        <v>362</v>
      </c>
      <c r="B116" s="5" t="s">
        <v>177</v>
      </c>
      <c r="C116" s="5" t="s">
        <v>384</v>
      </c>
      <c r="D116" s="5" t="s">
        <v>379</v>
      </c>
      <c r="E116" s="5" t="s">
        <v>484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</row>
    <row r="117" spans="1:13" ht="24" x14ac:dyDescent="0.4">
      <c r="A117" s="5" t="s">
        <v>227</v>
      </c>
      <c r="B117" s="5" t="s">
        <v>118</v>
      </c>
      <c r="C117" s="5" t="s">
        <v>384</v>
      </c>
      <c r="D117" s="5" t="s">
        <v>379</v>
      </c>
      <c r="E117" s="5" t="s">
        <v>408</v>
      </c>
      <c r="F117" s="6">
        <v>41464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41464</v>
      </c>
    </row>
    <row r="118" spans="1:13" ht="24" x14ac:dyDescent="0.4">
      <c r="A118" s="5" t="s">
        <v>208</v>
      </c>
      <c r="B118" s="5" t="s">
        <v>136</v>
      </c>
      <c r="C118" s="5" t="s">
        <v>384</v>
      </c>
      <c r="D118" s="5" t="s">
        <v>422</v>
      </c>
      <c r="E118" s="5" t="s">
        <v>375</v>
      </c>
      <c r="F118" s="6">
        <v>7605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7605</v>
      </c>
    </row>
    <row r="119" spans="1:13" ht="24" x14ac:dyDescent="0.4">
      <c r="A119" s="5" t="s">
        <v>204</v>
      </c>
      <c r="B119" s="5" t="s">
        <v>142</v>
      </c>
      <c r="C119" s="5" t="s">
        <v>384</v>
      </c>
      <c r="D119" s="5" t="s">
        <v>416</v>
      </c>
      <c r="E119" s="5" t="s">
        <v>375</v>
      </c>
      <c r="F119" s="6">
        <v>10000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10000</v>
      </c>
    </row>
    <row r="120" spans="1:13" ht="24" x14ac:dyDescent="0.4">
      <c r="A120" s="5" t="s">
        <v>470</v>
      </c>
      <c r="B120" s="5" t="s">
        <v>457</v>
      </c>
      <c r="C120" s="5" t="s">
        <v>384</v>
      </c>
      <c r="D120" s="5" t="s">
        <v>486</v>
      </c>
      <c r="E120" s="5" t="s">
        <v>375</v>
      </c>
      <c r="F120" s="6">
        <v>23684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23684</v>
      </c>
    </row>
    <row r="121" spans="1:13" ht="24" x14ac:dyDescent="0.4">
      <c r="A121" s="5" t="s">
        <v>219</v>
      </c>
      <c r="B121" s="5" t="s">
        <v>500</v>
      </c>
      <c r="C121" s="5" t="s">
        <v>384</v>
      </c>
      <c r="D121" s="5" t="s">
        <v>390</v>
      </c>
      <c r="E121" s="5" t="s">
        <v>539</v>
      </c>
      <c r="F121" s="6">
        <v>10388</v>
      </c>
      <c r="G121" s="6">
        <v>0</v>
      </c>
      <c r="H121" s="6">
        <v>0</v>
      </c>
      <c r="I121" s="6">
        <v>10388</v>
      </c>
      <c r="J121" s="6">
        <v>0</v>
      </c>
      <c r="K121" s="6">
        <v>0</v>
      </c>
      <c r="L121" s="6">
        <v>0</v>
      </c>
      <c r="M121" s="6">
        <v>0</v>
      </c>
    </row>
    <row r="122" spans="1:13" ht="24" x14ac:dyDescent="0.4">
      <c r="A122" s="5" t="s">
        <v>195</v>
      </c>
      <c r="B122" s="5" t="s">
        <v>127</v>
      </c>
      <c r="C122" s="5" t="s">
        <v>384</v>
      </c>
      <c r="D122" s="5" t="s">
        <v>390</v>
      </c>
      <c r="E122" s="5" t="s">
        <v>375</v>
      </c>
      <c r="F122" s="6">
        <v>61102</v>
      </c>
      <c r="G122" s="6">
        <v>0</v>
      </c>
      <c r="H122" s="6">
        <v>0</v>
      </c>
      <c r="I122" s="6">
        <v>20641</v>
      </c>
      <c r="J122" s="6">
        <v>0</v>
      </c>
      <c r="K122" s="6">
        <v>19569</v>
      </c>
      <c r="L122" s="6">
        <v>20892</v>
      </c>
      <c r="M122" s="6">
        <v>0</v>
      </c>
    </row>
    <row r="123" spans="1:13" ht="24" x14ac:dyDescent="0.4">
      <c r="A123" s="5" t="s">
        <v>192</v>
      </c>
      <c r="B123" s="5" t="s">
        <v>141</v>
      </c>
      <c r="C123" s="5" t="s">
        <v>384</v>
      </c>
      <c r="D123" s="5" t="s">
        <v>390</v>
      </c>
      <c r="E123" s="5" t="s">
        <v>375</v>
      </c>
      <c r="F123" s="6">
        <v>64000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64000</v>
      </c>
    </row>
    <row r="124" spans="1:13" ht="24" x14ac:dyDescent="0.4">
      <c r="A124" s="5" t="s">
        <v>206</v>
      </c>
      <c r="B124" s="5" t="s">
        <v>154</v>
      </c>
      <c r="C124" s="5" t="s">
        <v>384</v>
      </c>
      <c r="D124" s="5" t="s">
        <v>390</v>
      </c>
      <c r="E124" s="5" t="s">
        <v>375</v>
      </c>
      <c r="F124" s="6">
        <v>29750</v>
      </c>
      <c r="G124" s="6">
        <v>0</v>
      </c>
      <c r="H124" s="6">
        <v>17100</v>
      </c>
      <c r="I124" s="6">
        <v>3424</v>
      </c>
      <c r="J124" s="6">
        <v>0</v>
      </c>
      <c r="K124" s="6">
        <v>0</v>
      </c>
      <c r="L124" s="6">
        <v>0</v>
      </c>
      <c r="M124" s="6">
        <v>9226</v>
      </c>
    </row>
    <row r="125" spans="1:13" ht="24" x14ac:dyDescent="0.4">
      <c r="A125" s="5" t="s">
        <v>235</v>
      </c>
      <c r="B125" s="5" t="s">
        <v>105</v>
      </c>
      <c r="C125" s="5" t="s">
        <v>384</v>
      </c>
      <c r="D125" s="5" t="s">
        <v>390</v>
      </c>
      <c r="E125" s="5" t="s">
        <v>375</v>
      </c>
      <c r="F125" s="6">
        <v>14882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14882</v>
      </c>
    </row>
    <row r="126" spans="1:13" ht="24" x14ac:dyDescent="0.4">
      <c r="A126" s="5" t="s">
        <v>346</v>
      </c>
      <c r="B126" s="5" t="s">
        <v>163</v>
      </c>
      <c r="C126" s="5" t="s">
        <v>384</v>
      </c>
      <c r="D126" s="5" t="s">
        <v>390</v>
      </c>
      <c r="E126" s="5" t="s">
        <v>375</v>
      </c>
      <c r="F126" s="6">
        <v>11121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11121</v>
      </c>
    </row>
    <row r="127" spans="1:13" ht="24" x14ac:dyDescent="0.4">
      <c r="A127" s="5" t="s">
        <v>340</v>
      </c>
      <c r="B127" s="5" t="s">
        <v>166</v>
      </c>
      <c r="C127" s="5" t="s">
        <v>384</v>
      </c>
      <c r="D127" s="5" t="s">
        <v>444</v>
      </c>
      <c r="E127" s="5" t="s">
        <v>375</v>
      </c>
      <c r="F127" s="6">
        <v>42024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42024</v>
      </c>
    </row>
    <row r="128" spans="1:13" ht="24" x14ac:dyDescent="0.4">
      <c r="A128" s="5" t="s">
        <v>237</v>
      </c>
      <c r="B128" s="5" t="s">
        <v>125</v>
      </c>
      <c r="C128" s="5" t="s">
        <v>384</v>
      </c>
      <c r="D128" s="5" t="s">
        <v>554</v>
      </c>
      <c r="E128" s="5" t="s">
        <v>375</v>
      </c>
      <c r="F128" s="6">
        <v>13600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13600</v>
      </c>
    </row>
    <row r="129" spans="1:13" ht="24" x14ac:dyDescent="0.4">
      <c r="A129" s="5" t="s">
        <v>242</v>
      </c>
      <c r="B129" s="5" t="s">
        <v>126</v>
      </c>
      <c r="C129" s="5" t="s">
        <v>384</v>
      </c>
      <c r="D129" s="5" t="s">
        <v>554</v>
      </c>
      <c r="E129" s="5" t="s">
        <v>375</v>
      </c>
      <c r="F129" s="6">
        <v>4769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4769</v>
      </c>
    </row>
    <row r="130" spans="1:13" ht="24" x14ac:dyDescent="0.4">
      <c r="A130" s="5" t="s">
        <v>294</v>
      </c>
      <c r="B130" s="5" t="s">
        <v>61</v>
      </c>
      <c r="C130" s="5" t="s">
        <v>384</v>
      </c>
      <c r="D130" s="5" t="s">
        <v>423</v>
      </c>
      <c r="E130" s="5" t="s">
        <v>408</v>
      </c>
      <c r="F130" s="6">
        <v>23880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23880</v>
      </c>
    </row>
    <row r="131" spans="1:13" ht="24" x14ac:dyDescent="0.4">
      <c r="A131" s="5" t="s">
        <v>476</v>
      </c>
      <c r="B131" s="5" t="s">
        <v>473</v>
      </c>
      <c r="C131" s="5" t="s">
        <v>384</v>
      </c>
      <c r="D131" s="5" t="s">
        <v>537</v>
      </c>
      <c r="E131" s="5" t="s">
        <v>375</v>
      </c>
      <c r="F131" s="6">
        <v>21200</v>
      </c>
      <c r="G131" s="6">
        <v>0</v>
      </c>
      <c r="H131" s="6">
        <v>0</v>
      </c>
      <c r="I131" s="6">
        <v>0</v>
      </c>
      <c r="J131" s="6">
        <v>0</v>
      </c>
      <c r="K131" s="6">
        <v>21200</v>
      </c>
      <c r="L131" s="6">
        <v>0</v>
      </c>
      <c r="M131" s="6">
        <v>0</v>
      </c>
    </row>
    <row r="132" spans="1:13" ht="24" x14ac:dyDescent="0.4">
      <c r="A132" s="5" t="s">
        <v>205</v>
      </c>
      <c r="B132" s="5" t="s">
        <v>150</v>
      </c>
      <c r="C132" s="5" t="s">
        <v>384</v>
      </c>
      <c r="D132" s="5" t="s">
        <v>429</v>
      </c>
      <c r="E132" s="5" t="s">
        <v>539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</row>
    <row r="133" spans="1:13" ht="24" x14ac:dyDescent="0.4">
      <c r="A133" s="5" t="s">
        <v>334</v>
      </c>
      <c r="B133" s="5" t="s">
        <v>13</v>
      </c>
      <c r="C133" s="5" t="s">
        <v>384</v>
      </c>
      <c r="D133" s="5" t="s">
        <v>559</v>
      </c>
      <c r="E133" s="5" t="s">
        <v>375</v>
      </c>
      <c r="F133" s="6">
        <v>5594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5594</v>
      </c>
    </row>
    <row r="134" spans="1:13" ht="24" x14ac:dyDescent="0.4">
      <c r="A134" s="5" t="s">
        <v>194</v>
      </c>
      <c r="B134" s="5" t="s">
        <v>139</v>
      </c>
      <c r="C134" s="5" t="s">
        <v>387</v>
      </c>
      <c r="D134" s="5" t="s">
        <v>427</v>
      </c>
      <c r="E134" s="5" t="s">
        <v>375</v>
      </c>
      <c r="F134" s="6">
        <v>46018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46018</v>
      </c>
    </row>
    <row r="135" spans="1:13" ht="24" x14ac:dyDescent="0.4">
      <c r="A135" s="5" t="s">
        <v>197</v>
      </c>
      <c r="B135" s="5" t="s">
        <v>138</v>
      </c>
      <c r="C135" s="5" t="s">
        <v>387</v>
      </c>
      <c r="D135" s="5" t="s">
        <v>427</v>
      </c>
      <c r="E135" s="5" t="s">
        <v>375</v>
      </c>
      <c r="F135" s="6">
        <v>28027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28027</v>
      </c>
    </row>
    <row r="136" spans="1:13" ht="24" x14ac:dyDescent="0.4">
      <c r="A136" s="5" t="s">
        <v>344</v>
      </c>
      <c r="B136" s="5" t="s">
        <v>167</v>
      </c>
      <c r="C136" s="5" t="s">
        <v>384</v>
      </c>
      <c r="D136" s="5" t="s">
        <v>435</v>
      </c>
      <c r="E136" s="5" t="s">
        <v>408</v>
      </c>
      <c r="F136" s="6">
        <v>70241</v>
      </c>
      <c r="G136" s="6">
        <v>0</v>
      </c>
      <c r="H136" s="6">
        <v>0</v>
      </c>
      <c r="I136" s="6">
        <v>57189</v>
      </c>
      <c r="J136" s="6">
        <v>0</v>
      </c>
      <c r="K136" s="6">
        <v>0</v>
      </c>
      <c r="L136" s="6">
        <v>0</v>
      </c>
      <c r="M136" s="6">
        <v>13052</v>
      </c>
    </row>
    <row r="137" spans="1:13" ht="24" x14ac:dyDescent="0.4">
      <c r="A137" s="5" t="s">
        <v>466</v>
      </c>
      <c r="B137" s="5" t="s">
        <v>459</v>
      </c>
      <c r="C137" s="5" t="s">
        <v>384</v>
      </c>
      <c r="D137" s="5" t="s">
        <v>485</v>
      </c>
      <c r="E137" s="5" t="s">
        <v>408</v>
      </c>
      <c r="F137" s="6">
        <v>21906</v>
      </c>
      <c r="G137" s="6">
        <v>0</v>
      </c>
      <c r="H137" s="6">
        <v>0</v>
      </c>
      <c r="I137" s="6">
        <v>0</v>
      </c>
      <c r="J137" s="6">
        <v>0</v>
      </c>
      <c r="K137" s="6">
        <v>21906</v>
      </c>
      <c r="L137" s="6">
        <v>0</v>
      </c>
      <c r="M137" s="6">
        <v>0</v>
      </c>
    </row>
    <row r="138" spans="1:13" ht="24" x14ac:dyDescent="0.4">
      <c r="A138" s="5" t="s">
        <v>222</v>
      </c>
      <c r="B138" s="5" t="s">
        <v>106</v>
      </c>
      <c r="C138" s="5" t="s">
        <v>384</v>
      </c>
      <c r="D138" s="5" t="s">
        <v>546</v>
      </c>
      <c r="E138" s="5" t="s">
        <v>539</v>
      </c>
      <c r="F138" s="6">
        <v>61846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61846</v>
      </c>
    </row>
    <row r="139" spans="1:13" ht="24" x14ac:dyDescent="0.4">
      <c r="A139" s="5" t="s">
        <v>231</v>
      </c>
      <c r="B139" s="5" t="s">
        <v>124</v>
      </c>
      <c r="C139" s="5" t="s">
        <v>384</v>
      </c>
      <c r="D139" s="5" t="s">
        <v>546</v>
      </c>
      <c r="E139" s="5" t="s">
        <v>539</v>
      </c>
      <c r="F139" s="6">
        <v>6664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6664</v>
      </c>
    </row>
    <row r="140" spans="1:13" ht="24" x14ac:dyDescent="0.4">
      <c r="A140" s="5" t="s">
        <v>320</v>
      </c>
      <c r="B140" s="5" t="s">
        <v>36</v>
      </c>
      <c r="C140" s="5" t="s">
        <v>384</v>
      </c>
      <c r="D140" s="5" t="s">
        <v>421</v>
      </c>
      <c r="E140" s="5" t="s">
        <v>408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</row>
    <row r="141" spans="1:13" ht="24" x14ac:dyDescent="0.4">
      <c r="A141" s="5" t="s">
        <v>259</v>
      </c>
      <c r="B141" s="5" t="s">
        <v>98</v>
      </c>
      <c r="C141" s="5" t="s">
        <v>384</v>
      </c>
      <c r="D141" s="5" t="s">
        <v>551</v>
      </c>
      <c r="E141" s="5" t="s">
        <v>408</v>
      </c>
      <c r="F141" s="6">
        <v>20724.98</v>
      </c>
      <c r="G141" s="6">
        <v>0</v>
      </c>
      <c r="H141" s="6">
        <v>0</v>
      </c>
      <c r="I141" s="6">
        <v>0</v>
      </c>
      <c r="J141" s="6">
        <v>0</v>
      </c>
      <c r="K141" s="6">
        <v>20724.98</v>
      </c>
      <c r="L141" s="6">
        <v>0</v>
      </c>
      <c r="M141" s="6">
        <v>0</v>
      </c>
    </row>
    <row r="142" spans="1:13" ht="24" x14ac:dyDescent="0.4">
      <c r="A142" s="5" t="s">
        <v>248</v>
      </c>
      <c r="B142" s="5" t="s">
        <v>65</v>
      </c>
      <c r="C142" s="5" t="s">
        <v>406</v>
      </c>
      <c r="D142" s="5" t="s">
        <v>389</v>
      </c>
      <c r="E142" s="5" t="s">
        <v>408</v>
      </c>
      <c r="F142" s="6">
        <v>2444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2444</v>
      </c>
    </row>
    <row r="143" spans="1:13" ht="24" x14ac:dyDescent="0.4">
      <c r="A143" s="5" t="s">
        <v>266</v>
      </c>
      <c r="B143" s="5" t="s">
        <v>68</v>
      </c>
      <c r="C143" s="5" t="s">
        <v>406</v>
      </c>
      <c r="D143" s="5" t="s">
        <v>389</v>
      </c>
      <c r="E143" s="5" t="s">
        <v>408</v>
      </c>
      <c r="F143" s="6">
        <v>1047</v>
      </c>
      <c r="G143" s="6">
        <v>0</v>
      </c>
      <c r="H143" s="6">
        <v>0</v>
      </c>
      <c r="I143" s="6">
        <v>1047</v>
      </c>
      <c r="J143" s="6">
        <v>0</v>
      </c>
      <c r="K143" s="6">
        <v>0</v>
      </c>
      <c r="L143" s="6">
        <v>0</v>
      </c>
      <c r="M143" s="6">
        <v>0</v>
      </c>
    </row>
    <row r="144" spans="1:13" ht="24" x14ac:dyDescent="0.4">
      <c r="A144" s="5" t="s">
        <v>199</v>
      </c>
      <c r="B144" s="5" t="s">
        <v>147</v>
      </c>
      <c r="C144" s="5" t="s">
        <v>384</v>
      </c>
      <c r="D144" s="5" t="s">
        <v>389</v>
      </c>
      <c r="E144" s="5" t="s">
        <v>539</v>
      </c>
      <c r="F144" s="6">
        <v>66441</v>
      </c>
      <c r="G144" s="6">
        <v>0</v>
      </c>
      <c r="H144" s="6">
        <v>0</v>
      </c>
      <c r="I144" s="6">
        <v>0</v>
      </c>
      <c r="J144" s="6">
        <v>0</v>
      </c>
      <c r="K144" s="6">
        <v>50000</v>
      </c>
      <c r="L144" s="6">
        <v>0</v>
      </c>
      <c r="M144" s="6">
        <v>16441</v>
      </c>
    </row>
    <row r="145" spans="1:13" ht="24" x14ac:dyDescent="0.4">
      <c r="A145" s="5" t="s">
        <v>367</v>
      </c>
      <c r="B145" s="5" t="s">
        <v>510</v>
      </c>
      <c r="C145" s="5" t="s">
        <v>384</v>
      </c>
      <c r="D145" s="5" t="s">
        <v>389</v>
      </c>
      <c r="E145" s="5" t="s">
        <v>539</v>
      </c>
      <c r="F145" s="6">
        <v>9289</v>
      </c>
      <c r="G145" s="6">
        <v>0</v>
      </c>
      <c r="H145" s="6">
        <v>9289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</row>
    <row r="146" spans="1:13" ht="24" x14ac:dyDescent="0.4">
      <c r="A146" s="5" t="s">
        <v>463</v>
      </c>
      <c r="B146" s="5" t="s">
        <v>504</v>
      </c>
      <c r="C146" s="5" t="s">
        <v>384</v>
      </c>
      <c r="D146" s="5" t="s">
        <v>389</v>
      </c>
      <c r="E146" s="5" t="s">
        <v>539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</row>
    <row r="147" spans="1:13" ht="24" x14ac:dyDescent="0.4">
      <c r="A147" s="5" t="s">
        <v>283</v>
      </c>
      <c r="B147" s="5" t="s">
        <v>59</v>
      </c>
      <c r="C147" s="5" t="s">
        <v>384</v>
      </c>
      <c r="D147" s="5" t="s">
        <v>389</v>
      </c>
      <c r="E147" s="5" t="s">
        <v>408</v>
      </c>
      <c r="F147" s="6">
        <v>35037</v>
      </c>
      <c r="G147" s="6">
        <v>0</v>
      </c>
      <c r="H147" s="6">
        <v>0</v>
      </c>
      <c r="I147" s="6">
        <v>25200</v>
      </c>
      <c r="J147" s="6">
        <v>0</v>
      </c>
      <c r="K147" s="6">
        <v>0</v>
      </c>
      <c r="L147" s="6">
        <v>8689</v>
      </c>
      <c r="M147" s="6">
        <v>1148</v>
      </c>
    </row>
    <row r="148" spans="1:13" ht="24" x14ac:dyDescent="0.4">
      <c r="A148" s="5" t="s">
        <v>274</v>
      </c>
      <c r="B148" s="5" t="s">
        <v>88</v>
      </c>
      <c r="C148" s="5" t="s">
        <v>384</v>
      </c>
      <c r="D148" s="5" t="s">
        <v>389</v>
      </c>
      <c r="E148" s="5" t="s">
        <v>408</v>
      </c>
      <c r="F148" s="6">
        <v>12825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12815</v>
      </c>
      <c r="M148" s="6">
        <v>0</v>
      </c>
    </row>
    <row r="149" spans="1:13" ht="24" x14ac:dyDescent="0.4">
      <c r="A149" s="5" t="s">
        <v>250</v>
      </c>
      <c r="B149" s="5" t="s">
        <v>99</v>
      </c>
      <c r="C149" s="5" t="s">
        <v>384</v>
      </c>
      <c r="D149" s="5" t="s">
        <v>389</v>
      </c>
      <c r="E149" s="5" t="s">
        <v>408</v>
      </c>
      <c r="F149" s="6">
        <v>544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544</v>
      </c>
    </row>
    <row r="150" spans="1:13" ht="24" x14ac:dyDescent="0.4">
      <c r="A150" s="5" t="s">
        <v>263</v>
      </c>
      <c r="B150" s="5" t="s">
        <v>71</v>
      </c>
      <c r="C150" s="5" t="s">
        <v>384</v>
      </c>
      <c r="D150" s="5" t="s">
        <v>389</v>
      </c>
      <c r="E150" s="5" t="s">
        <v>408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</row>
    <row r="151" spans="1:13" ht="24" x14ac:dyDescent="0.4">
      <c r="A151" s="5" t="s">
        <v>513</v>
      </c>
      <c r="B151" s="5" t="s">
        <v>77</v>
      </c>
      <c r="C151" s="5" t="s">
        <v>384</v>
      </c>
      <c r="D151" s="5" t="s">
        <v>394</v>
      </c>
      <c r="E151" s="5" t="s">
        <v>408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</row>
    <row r="152" spans="1:13" ht="24" x14ac:dyDescent="0.4">
      <c r="A152" s="5" t="s">
        <v>332</v>
      </c>
      <c r="B152" s="5" t="s">
        <v>62</v>
      </c>
      <c r="C152" s="5" t="s">
        <v>383</v>
      </c>
      <c r="D152" s="5" t="s">
        <v>414</v>
      </c>
      <c r="E152" s="5" t="s">
        <v>408</v>
      </c>
      <c r="F152" s="6">
        <v>6558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6558</v>
      </c>
    </row>
    <row r="153" spans="1:13" ht="24" x14ac:dyDescent="0.4">
      <c r="A153" s="5" t="s">
        <v>196</v>
      </c>
      <c r="B153" s="5" t="s">
        <v>128</v>
      </c>
      <c r="C153" s="5" t="s">
        <v>384</v>
      </c>
      <c r="D153" s="5" t="s">
        <v>407</v>
      </c>
      <c r="E153" s="5" t="s">
        <v>539</v>
      </c>
      <c r="F153" s="6">
        <v>31601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31601</v>
      </c>
    </row>
    <row r="154" spans="1:13" ht="24" x14ac:dyDescent="0.4">
      <c r="A154" s="5" t="s">
        <v>317</v>
      </c>
      <c r="B154" s="5" t="s">
        <v>25</v>
      </c>
      <c r="C154" s="5" t="s">
        <v>384</v>
      </c>
      <c r="D154" s="5" t="s">
        <v>407</v>
      </c>
      <c r="E154" s="5" t="s">
        <v>539</v>
      </c>
      <c r="F154" s="6">
        <v>13700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13700</v>
      </c>
    </row>
    <row r="155" spans="1:13" ht="24" x14ac:dyDescent="0.4">
      <c r="A155" s="5" t="s">
        <v>482</v>
      </c>
      <c r="B155" s="5" t="s">
        <v>479</v>
      </c>
      <c r="C155" s="5" t="s">
        <v>384</v>
      </c>
      <c r="D155" s="5" t="s">
        <v>407</v>
      </c>
      <c r="E155" s="5" t="s">
        <v>375</v>
      </c>
      <c r="F155" s="6">
        <v>4268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4268</v>
      </c>
      <c r="M155" s="6">
        <v>0</v>
      </c>
    </row>
    <row r="156" spans="1:13" ht="24" x14ac:dyDescent="0.4">
      <c r="A156" s="5" t="s">
        <v>350</v>
      </c>
      <c r="B156" s="5" t="s">
        <v>175</v>
      </c>
      <c r="C156" s="5" t="s">
        <v>384</v>
      </c>
      <c r="D156" s="5" t="s">
        <v>553</v>
      </c>
      <c r="E156" s="5" t="s">
        <v>539</v>
      </c>
      <c r="F156" s="6">
        <v>15017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15017</v>
      </c>
    </row>
    <row r="157" spans="1:13" ht="24" x14ac:dyDescent="0.4">
      <c r="A157" s="5" t="s">
        <v>337</v>
      </c>
      <c r="B157" s="5" t="s">
        <v>20</v>
      </c>
      <c r="C157" s="5" t="s">
        <v>384</v>
      </c>
      <c r="D157" s="5" t="s">
        <v>484</v>
      </c>
      <c r="E157" s="5" t="s">
        <v>484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</row>
    <row r="158" spans="1:13" ht="24" x14ac:dyDescent="0.4">
      <c r="A158" s="5" t="s">
        <v>355</v>
      </c>
      <c r="B158" s="5" t="s">
        <v>189</v>
      </c>
      <c r="C158" s="5" t="s">
        <v>384</v>
      </c>
      <c r="D158" s="5" t="s">
        <v>484</v>
      </c>
      <c r="E158" s="5" t="s">
        <v>484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</row>
    <row r="159" spans="1:13" ht="24" x14ac:dyDescent="0.4">
      <c r="A159" s="5" t="s">
        <v>377</v>
      </c>
      <c r="B159" s="5" t="s">
        <v>373</v>
      </c>
      <c r="C159" s="5" t="s">
        <v>384</v>
      </c>
      <c r="D159" s="5" t="s">
        <v>484</v>
      </c>
      <c r="E159" s="5" t="s">
        <v>484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</row>
    <row r="160" spans="1:13" ht="24" x14ac:dyDescent="0.4">
      <c r="A160" s="5" t="s">
        <v>365</v>
      </c>
      <c r="B160" s="5" t="s">
        <v>188</v>
      </c>
      <c r="C160" s="5" t="s">
        <v>384</v>
      </c>
      <c r="D160" s="5" t="s">
        <v>484</v>
      </c>
      <c r="E160" s="5" t="s">
        <v>484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</row>
    <row r="161" spans="1:13" ht="24" x14ac:dyDescent="0.4">
      <c r="A161" s="5" t="s">
        <v>370</v>
      </c>
      <c r="B161" s="5" t="s">
        <v>190</v>
      </c>
      <c r="C161" s="5" t="s">
        <v>384</v>
      </c>
      <c r="D161" s="5" t="s">
        <v>484</v>
      </c>
      <c r="E161" s="5" t="s">
        <v>484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</row>
    <row r="162" spans="1:13" ht="24" x14ac:dyDescent="0.4">
      <c r="A162" s="5" t="s">
        <v>371</v>
      </c>
      <c r="B162" s="5" t="s">
        <v>453</v>
      </c>
      <c r="C162" s="5" t="s">
        <v>384</v>
      </c>
      <c r="D162" s="5" t="s">
        <v>484</v>
      </c>
      <c r="E162" s="5" t="s">
        <v>484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</row>
    <row r="163" spans="1:13" ht="24" x14ac:dyDescent="0.4">
      <c r="A163" s="5" t="s">
        <v>361</v>
      </c>
      <c r="B163" s="5" t="s">
        <v>160</v>
      </c>
      <c r="C163" s="5" t="s">
        <v>384</v>
      </c>
      <c r="D163" s="5" t="s">
        <v>484</v>
      </c>
      <c r="E163" s="5" t="s">
        <v>484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</row>
    <row r="164" spans="1:13" ht="24" x14ac:dyDescent="0.4">
      <c r="A164" s="5" t="s">
        <v>341</v>
      </c>
      <c r="B164" s="5" t="s">
        <v>164</v>
      </c>
      <c r="C164" s="5" t="s">
        <v>384</v>
      </c>
      <c r="D164" s="5" t="s">
        <v>396</v>
      </c>
      <c r="E164" s="5" t="s">
        <v>539</v>
      </c>
      <c r="F164" s="6">
        <v>41927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41927</v>
      </c>
    </row>
    <row r="165" spans="1:13" ht="24" x14ac:dyDescent="0.4">
      <c r="A165" s="5" t="s">
        <v>322</v>
      </c>
      <c r="B165" s="5" t="s">
        <v>45</v>
      </c>
      <c r="C165" s="5" t="s">
        <v>384</v>
      </c>
      <c r="D165" s="5" t="s">
        <v>396</v>
      </c>
      <c r="E165" s="5" t="s">
        <v>539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</row>
    <row r="166" spans="1:13" ht="24" x14ac:dyDescent="0.4">
      <c r="A166" s="5" t="s">
        <v>307</v>
      </c>
      <c r="B166" s="5" t="s">
        <v>48</v>
      </c>
      <c r="C166" s="5" t="s">
        <v>384</v>
      </c>
      <c r="D166" s="5" t="s">
        <v>396</v>
      </c>
      <c r="E166" s="5" t="s">
        <v>539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</row>
    <row r="167" spans="1:13" ht="24" x14ac:dyDescent="0.4">
      <c r="A167" s="5" t="s">
        <v>372</v>
      </c>
      <c r="B167" s="5" t="s">
        <v>42</v>
      </c>
      <c r="C167" s="5" t="s">
        <v>384</v>
      </c>
      <c r="D167" s="5" t="s">
        <v>396</v>
      </c>
      <c r="E167" s="5" t="s">
        <v>375</v>
      </c>
      <c r="F167" s="6">
        <v>15762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15762</v>
      </c>
    </row>
    <row r="168" spans="1:13" ht="24" x14ac:dyDescent="0.4">
      <c r="A168" s="5" t="s">
        <v>247</v>
      </c>
      <c r="B168" s="5" t="s">
        <v>66</v>
      </c>
      <c r="C168" s="5" t="s">
        <v>384</v>
      </c>
      <c r="D168" s="5" t="s">
        <v>545</v>
      </c>
      <c r="E168" s="5" t="s">
        <v>408</v>
      </c>
      <c r="F168" s="6">
        <v>61933</v>
      </c>
      <c r="G168" s="6">
        <v>0</v>
      </c>
      <c r="H168" s="6">
        <v>61933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</row>
    <row r="169" spans="1:13" ht="24" x14ac:dyDescent="0.4">
      <c r="A169" s="5" t="s">
        <v>521</v>
      </c>
      <c r="B169" s="5" t="s">
        <v>518</v>
      </c>
      <c r="C169" s="5" t="s">
        <v>384</v>
      </c>
      <c r="D169" s="5" t="s">
        <v>545</v>
      </c>
      <c r="E169" s="5" t="s">
        <v>408</v>
      </c>
      <c r="F169" s="6">
        <v>45687</v>
      </c>
      <c r="G169" s="6">
        <v>0</v>
      </c>
      <c r="H169" s="6">
        <v>33530</v>
      </c>
      <c r="I169" s="6">
        <v>0</v>
      </c>
      <c r="J169" s="6">
        <v>0</v>
      </c>
      <c r="K169" s="6">
        <v>0</v>
      </c>
      <c r="L169" s="6">
        <v>12157</v>
      </c>
      <c r="M169" s="6">
        <v>0</v>
      </c>
    </row>
    <row r="170" spans="1:13" ht="24" x14ac:dyDescent="0.4">
      <c r="A170" s="5" t="s">
        <v>271</v>
      </c>
      <c r="B170" s="5" t="s">
        <v>75</v>
      </c>
      <c r="C170" s="5" t="s">
        <v>384</v>
      </c>
      <c r="D170" s="5" t="s">
        <v>430</v>
      </c>
      <c r="E170" s="5" t="s">
        <v>408</v>
      </c>
      <c r="F170" s="6">
        <v>410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410</v>
      </c>
    </row>
    <row r="171" spans="1:13" ht="24" x14ac:dyDescent="0.4">
      <c r="A171" s="5" t="s">
        <v>264</v>
      </c>
      <c r="B171" s="5" t="s">
        <v>101</v>
      </c>
      <c r="C171" s="5" t="s">
        <v>384</v>
      </c>
      <c r="D171" s="5" t="s">
        <v>545</v>
      </c>
      <c r="E171" s="5" t="s">
        <v>408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</row>
    <row r="172" spans="1:13" ht="24" x14ac:dyDescent="0.4">
      <c r="A172" s="5" t="s">
        <v>319</v>
      </c>
      <c r="B172" s="5" t="s">
        <v>60</v>
      </c>
      <c r="C172" s="5" t="s">
        <v>383</v>
      </c>
      <c r="D172" s="5" t="s">
        <v>402</v>
      </c>
      <c r="E172" s="5" t="s">
        <v>408</v>
      </c>
      <c r="F172" s="6">
        <v>13210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13210</v>
      </c>
    </row>
    <row r="173" spans="1:13" ht="24" x14ac:dyDescent="0.4">
      <c r="A173" s="5" t="s">
        <v>323</v>
      </c>
      <c r="B173" s="5" t="s">
        <v>23</v>
      </c>
      <c r="C173" s="5" t="s">
        <v>384</v>
      </c>
      <c r="D173" s="5" t="s">
        <v>402</v>
      </c>
      <c r="E173" s="5" t="s">
        <v>408</v>
      </c>
      <c r="F173" s="6">
        <v>11820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11820</v>
      </c>
    </row>
    <row r="174" spans="1:13" ht="24" x14ac:dyDescent="0.4">
      <c r="A174" s="5" t="s">
        <v>359</v>
      </c>
      <c r="B174" s="5" t="s">
        <v>186</v>
      </c>
      <c r="C174" s="5" t="s">
        <v>384</v>
      </c>
      <c r="D174" s="5" t="s">
        <v>446</v>
      </c>
      <c r="E174" s="5" t="s">
        <v>484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</row>
    <row r="175" spans="1:13" ht="24" x14ac:dyDescent="0.4">
      <c r="A175" s="5" t="s">
        <v>243</v>
      </c>
      <c r="B175" s="5" t="s">
        <v>103</v>
      </c>
      <c r="C175" s="5" t="s">
        <v>384</v>
      </c>
      <c r="D175" s="5" t="s">
        <v>563</v>
      </c>
      <c r="E175" s="5" t="s">
        <v>539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</row>
    <row r="176" spans="1:13" ht="24" x14ac:dyDescent="0.4">
      <c r="A176" s="5" t="s">
        <v>252</v>
      </c>
      <c r="B176" s="5" t="s">
        <v>94</v>
      </c>
      <c r="C176" s="5" t="s">
        <v>384</v>
      </c>
      <c r="D176" s="5" t="s">
        <v>433</v>
      </c>
      <c r="E176" s="5" t="s">
        <v>408</v>
      </c>
      <c r="F176" s="6">
        <v>498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498</v>
      </c>
    </row>
    <row r="177" spans="1:13" ht="24" x14ac:dyDescent="0.4">
      <c r="A177" s="5" t="s">
        <v>286</v>
      </c>
      <c r="B177" s="5" t="s">
        <v>18</v>
      </c>
      <c r="C177" s="5" t="s">
        <v>384</v>
      </c>
      <c r="D177" s="5" t="s">
        <v>431</v>
      </c>
      <c r="E177" s="5" t="s">
        <v>408</v>
      </c>
      <c r="F177" s="6">
        <v>52207</v>
      </c>
      <c r="G177" s="6">
        <v>0</v>
      </c>
      <c r="H177" s="6">
        <v>0</v>
      </c>
      <c r="I177" s="6">
        <v>22207</v>
      </c>
      <c r="J177" s="6">
        <v>0</v>
      </c>
      <c r="K177" s="6">
        <v>0</v>
      </c>
      <c r="L177" s="6">
        <v>0</v>
      </c>
      <c r="M177" s="6">
        <v>30000</v>
      </c>
    </row>
    <row r="178" spans="1:13" ht="24" x14ac:dyDescent="0.4">
      <c r="A178" s="5" t="s">
        <v>295</v>
      </c>
      <c r="B178" s="5" t="s">
        <v>47</v>
      </c>
      <c r="C178" s="5" t="s">
        <v>384</v>
      </c>
      <c r="D178" s="5" t="s">
        <v>431</v>
      </c>
      <c r="E178" s="5" t="s">
        <v>408</v>
      </c>
      <c r="F178" s="6">
        <v>33400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33400</v>
      </c>
    </row>
    <row r="179" spans="1:13" ht="24" x14ac:dyDescent="0.4">
      <c r="A179" s="5" t="s">
        <v>292</v>
      </c>
      <c r="B179" s="5" t="s">
        <v>8</v>
      </c>
      <c r="C179" s="5" t="s">
        <v>384</v>
      </c>
      <c r="D179" s="5" t="s">
        <v>378</v>
      </c>
      <c r="E179" s="5" t="s">
        <v>408</v>
      </c>
      <c r="F179" s="6">
        <v>36740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36740</v>
      </c>
    </row>
    <row r="180" spans="1:13" ht="24" x14ac:dyDescent="0.4">
      <c r="A180" s="5" t="s">
        <v>262</v>
      </c>
      <c r="B180" s="5" t="s">
        <v>83</v>
      </c>
      <c r="C180" s="5" t="s">
        <v>384</v>
      </c>
      <c r="D180" s="5" t="s">
        <v>378</v>
      </c>
      <c r="E180" s="5" t="s">
        <v>408</v>
      </c>
      <c r="F180" s="6">
        <v>22490.39</v>
      </c>
      <c r="G180" s="6">
        <v>0</v>
      </c>
      <c r="H180" s="6">
        <v>0</v>
      </c>
      <c r="I180" s="6">
        <v>0</v>
      </c>
      <c r="J180" s="6">
        <v>0</v>
      </c>
      <c r="K180" s="6">
        <v>14832</v>
      </c>
      <c r="L180" s="6">
        <v>0</v>
      </c>
      <c r="M180" s="6">
        <v>7658.39</v>
      </c>
    </row>
    <row r="181" spans="1:13" ht="24" x14ac:dyDescent="0.4">
      <c r="A181" s="5" t="s">
        <v>308</v>
      </c>
      <c r="B181" s="5" t="s">
        <v>17</v>
      </c>
      <c r="C181" s="5" t="s">
        <v>384</v>
      </c>
      <c r="D181" s="5" t="s">
        <v>378</v>
      </c>
      <c r="E181" s="5" t="s">
        <v>408</v>
      </c>
      <c r="F181" s="6">
        <v>9684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9684</v>
      </c>
    </row>
    <row r="182" spans="1:13" ht="24" x14ac:dyDescent="0.4">
      <c r="A182" s="5" t="s">
        <v>315</v>
      </c>
      <c r="B182" s="5" t="s">
        <v>31</v>
      </c>
      <c r="C182" s="5" t="s">
        <v>384</v>
      </c>
      <c r="D182" s="5" t="s">
        <v>378</v>
      </c>
      <c r="E182" s="5" t="s">
        <v>408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</row>
    <row r="183" spans="1:13" ht="24" x14ac:dyDescent="0.4">
      <c r="A183" s="5" t="s">
        <v>314</v>
      </c>
      <c r="B183" s="5" t="s">
        <v>22</v>
      </c>
      <c r="C183" s="5" t="s">
        <v>384</v>
      </c>
      <c r="D183" s="5" t="s">
        <v>436</v>
      </c>
      <c r="E183" s="5" t="s">
        <v>408</v>
      </c>
      <c r="F183" s="6">
        <v>46840</v>
      </c>
      <c r="G183" s="6">
        <v>10000</v>
      </c>
      <c r="H183" s="6">
        <v>177</v>
      </c>
      <c r="I183" s="6">
        <v>22207</v>
      </c>
      <c r="J183" s="6">
        <v>0</v>
      </c>
      <c r="K183" s="6">
        <v>14456</v>
      </c>
      <c r="L183" s="6">
        <v>0</v>
      </c>
      <c r="M183" s="6">
        <v>0</v>
      </c>
    </row>
    <row r="184" spans="1:13" ht="24" x14ac:dyDescent="0.4">
      <c r="A184" s="5" t="s">
        <v>301</v>
      </c>
      <c r="B184" s="5" t="s">
        <v>40</v>
      </c>
      <c r="C184" s="5" t="s">
        <v>384</v>
      </c>
      <c r="D184" s="5" t="s">
        <v>410</v>
      </c>
      <c r="E184" s="5" t="s">
        <v>375</v>
      </c>
      <c r="F184" s="6">
        <v>24008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24008</v>
      </c>
    </row>
    <row r="185" spans="1:13" ht="24" x14ac:dyDescent="0.4">
      <c r="A185" s="5" t="s">
        <v>339</v>
      </c>
      <c r="B185" s="5" t="s">
        <v>158</v>
      </c>
      <c r="C185" s="5" t="s">
        <v>384</v>
      </c>
      <c r="D185" s="5" t="s">
        <v>550</v>
      </c>
      <c r="E185" s="5" t="s">
        <v>539</v>
      </c>
      <c r="F185" s="6">
        <v>25000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25000</v>
      </c>
    </row>
    <row r="186" spans="1:13" ht="24" x14ac:dyDescent="0.4">
      <c r="A186" s="5" t="s">
        <v>369</v>
      </c>
      <c r="B186" s="5" t="s">
        <v>159</v>
      </c>
      <c r="C186" s="5" t="s">
        <v>384</v>
      </c>
      <c r="D186" s="5" t="s">
        <v>550</v>
      </c>
      <c r="E186" s="5" t="s">
        <v>539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</row>
    <row r="187" spans="1:13" ht="24" x14ac:dyDescent="0.4">
      <c r="A187" s="5" t="s">
        <v>463</v>
      </c>
      <c r="B187" s="5" t="s">
        <v>451</v>
      </c>
      <c r="C187" s="5" t="s">
        <v>384</v>
      </c>
      <c r="D187" s="5" t="s">
        <v>489</v>
      </c>
      <c r="E187" s="5" t="s">
        <v>375</v>
      </c>
      <c r="F187" s="6">
        <v>27256</v>
      </c>
      <c r="G187" s="6">
        <v>0</v>
      </c>
      <c r="H187" s="6">
        <v>0</v>
      </c>
      <c r="I187" s="6">
        <v>27256</v>
      </c>
      <c r="J187" s="6">
        <v>0</v>
      </c>
      <c r="K187" s="6">
        <v>0</v>
      </c>
      <c r="L187" s="6">
        <v>0</v>
      </c>
      <c r="M187" s="6">
        <v>0</v>
      </c>
    </row>
    <row r="188" spans="1:13" ht="24" x14ac:dyDescent="0.4">
      <c r="A188" s="5" t="s">
        <v>351</v>
      </c>
      <c r="B188" s="5" t="s">
        <v>181</v>
      </c>
      <c r="C188" s="5" t="s">
        <v>384</v>
      </c>
      <c r="D188" s="5" t="s">
        <v>549</v>
      </c>
      <c r="E188" s="5" t="s">
        <v>539</v>
      </c>
      <c r="F188" s="6">
        <v>11451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</row>
    <row r="189" spans="1:13" ht="24" x14ac:dyDescent="0.4">
      <c r="A189" s="5" t="s">
        <v>326</v>
      </c>
      <c r="B189" s="5" t="s">
        <v>28</v>
      </c>
      <c r="C189" s="5" t="s">
        <v>383</v>
      </c>
      <c r="D189" s="5" t="s">
        <v>398</v>
      </c>
      <c r="E189" s="5" t="s">
        <v>408</v>
      </c>
      <c r="F189" s="6">
        <v>5939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5580</v>
      </c>
      <c r="M189" s="6">
        <v>359</v>
      </c>
    </row>
    <row r="190" spans="1:13" ht="24" x14ac:dyDescent="0.4">
      <c r="A190" s="5" t="s">
        <v>331</v>
      </c>
      <c r="B190" s="5" t="s">
        <v>38</v>
      </c>
      <c r="C190" s="5" t="s">
        <v>383</v>
      </c>
      <c r="D190" s="5" t="s">
        <v>398</v>
      </c>
      <c r="E190" s="5" t="s">
        <v>408</v>
      </c>
      <c r="F190" s="6">
        <v>940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940</v>
      </c>
    </row>
    <row r="191" spans="1:13" ht="24" x14ac:dyDescent="0.4">
      <c r="A191" s="5" t="s">
        <v>293</v>
      </c>
      <c r="B191" s="5" t="s">
        <v>33</v>
      </c>
      <c r="C191" s="5" t="s">
        <v>384</v>
      </c>
      <c r="D191" s="5" t="s">
        <v>398</v>
      </c>
      <c r="E191" s="5" t="s">
        <v>408</v>
      </c>
      <c r="F191" s="6">
        <v>34442</v>
      </c>
      <c r="G191" s="6">
        <v>0</v>
      </c>
      <c r="H191" s="6">
        <v>0</v>
      </c>
      <c r="I191" s="6">
        <v>10000</v>
      </c>
      <c r="J191" s="6">
        <v>0</v>
      </c>
      <c r="K191" s="6">
        <v>0</v>
      </c>
      <c r="L191" s="6">
        <v>10000</v>
      </c>
      <c r="M191" s="6">
        <v>14442</v>
      </c>
    </row>
    <row r="192" spans="1:13" ht="24" x14ac:dyDescent="0.4">
      <c r="A192" s="5" t="s">
        <v>296</v>
      </c>
      <c r="B192" s="5" t="s">
        <v>39</v>
      </c>
      <c r="C192" s="5" t="s">
        <v>384</v>
      </c>
      <c r="D192" s="5" t="s">
        <v>398</v>
      </c>
      <c r="E192" s="5" t="s">
        <v>408</v>
      </c>
      <c r="F192" s="6">
        <v>29360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29360</v>
      </c>
    </row>
    <row r="193" spans="1:13" ht="24" x14ac:dyDescent="0.4">
      <c r="A193" s="5" t="s">
        <v>297</v>
      </c>
      <c r="B193" s="5" t="s">
        <v>37</v>
      </c>
      <c r="C193" s="5" t="s">
        <v>384</v>
      </c>
      <c r="D193" s="5" t="s">
        <v>398</v>
      </c>
      <c r="E193" s="5" t="s">
        <v>408</v>
      </c>
      <c r="F193" s="6">
        <v>28616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28616</v>
      </c>
    </row>
    <row r="194" spans="1:13" ht="24" x14ac:dyDescent="0.4">
      <c r="A194" s="5" t="s">
        <v>303</v>
      </c>
      <c r="B194" s="5" t="s">
        <v>58</v>
      </c>
      <c r="C194" s="5" t="s">
        <v>384</v>
      </c>
      <c r="D194" s="5" t="s">
        <v>398</v>
      </c>
      <c r="E194" s="5" t="s">
        <v>408</v>
      </c>
      <c r="F194" s="6">
        <v>12494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12494</v>
      </c>
    </row>
    <row r="195" spans="1:13" ht="24" x14ac:dyDescent="0.4">
      <c r="A195" s="5" t="s">
        <v>290</v>
      </c>
      <c r="B195" s="5" t="s">
        <v>14</v>
      </c>
      <c r="C195" s="5" t="s">
        <v>384</v>
      </c>
      <c r="D195" s="5" t="s">
        <v>399</v>
      </c>
      <c r="E195" s="5" t="s">
        <v>408</v>
      </c>
      <c r="F195" s="6">
        <v>41948</v>
      </c>
      <c r="G195" s="6">
        <v>0</v>
      </c>
      <c r="H195" s="6">
        <v>0</v>
      </c>
      <c r="I195" s="6">
        <v>23277</v>
      </c>
      <c r="J195" s="6">
        <v>0</v>
      </c>
      <c r="K195" s="6">
        <v>18240</v>
      </c>
      <c r="L195" s="6">
        <v>0</v>
      </c>
      <c r="M195" s="6">
        <v>431</v>
      </c>
    </row>
    <row r="196" spans="1:13" ht="24" x14ac:dyDescent="0.4">
      <c r="A196" s="5" t="s">
        <v>309</v>
      </c>
      <c r="B196" s="5" t="s">
        <v>54</v>
      </c>
      <c r="C196" s="5" t="s">
        <v>383</v>
      </c>
      <c r="D196" s="5" t="s">
        <v>428</v>
      </c>
      <c r="E196" s="5" t="s">
        <v>375</v>
      </c>
      <c r="F196" s="6">
        <v>19200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19200</v>
      </c>
    </row>
    <row r="197" spans="1:13" ht="24" x14ac:dyDescent="0.4">
      <c r="A197" s="5" t="s">
        <v>481</v>
      </c>
      <c r="B197" s="5" t="s">
        <v>478</v>
      </c>
      <c r="C197" s="5" t="s">
        <v>384</v>
      </c>
      <c r="D197" s="5" t="s">
        <v>488</v>
      </c>
      <c r="E197" s="5" t="s">
        <v>375</v>
      </c>
      <c r="F197" s="6">
        <v>7881</v>
      </c>
      <c r="G197" s="6">
        <v>7881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</row>
    <row r="198" spans="1:13" ht="24" x14ac:dyDescent="0.4">
      <c r="A198" s="5" t="s">
        <v>467</v>
      </c>
      <c r="B198" s="5" t="s">
        <v>460</v>
      </c>
      <c r="C198" s="5" t="s">
        <v>384</v>
      </c>
      <c r="D198" s="5" t="s">
        <v>488</v>
      </c>
      <c r="E198" s="5" t="s">
        <v>375</v>
      </c>
      <c r="F198" s="6">
        <v>5270</v>
      </c>
      <c r="G198" s="6">
        <v>0</v>
      </c>
      <c r="H198" s="6">
        <v>0</v>
      </c>
      <c r="I198" s="6">
        <v>0</v>
      </c>
      <c r="J198" s="6">
        <v>0</v>
      </c>
      <c r="K198" s="6">
        <v>5270</v>
      </c>
      <c r="L198" s="6">
        <v>0</v>
      </c>
      <c r="M198" s="6">
        <v>0</v>
      </c>
    </row>
    <row r="199" spans="1:13" ht="24" x14ac:dyDescent="0.4">
      <c r="A199" s="5" t="s">
        <v>364</v>
      </c>
      <c r="B199" s="5" t="s">
        <v>184</v>
      </c>
      <c r="C199" s="5" t="s">
        <v>384</v>
      </c>
      <c r="D199" s="5" t="s">
        <v>447</v>
      </c>
      <c r="E199" s="5" t="s">
        <v>408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</row>
    <row r="200" spans="1:13" ht="24" x14ac:dyDescent="0.4">
      <c r="A200" s="5" t="s">
        <v>372</v>
      </c>
      <c r="B200" s="5" t="s">
        <v>503</v>
      </c>
      <c r="C200" s="5" t="s">
        <v>384</v>
      </c>
      <c r="D200" s="5" t="s">
        <v>540</v>
      </c>
      <c r="E200" s="5" t="s">
        <v>539</v>
      </c>
      <c r="F200" s="6">
        <v>27556</v>
      </c>
      <c r="G200" s="6">
        <v>0</v>
      </c>
      <c r="H200" s="6">
        <v>0</v>
      </c>
      <c r="I200" s="6">
        <v>27556</v>
      </c>
      <c r="J200" s="6">
        <v>0</v>
      </c>
      <c r="K200" s="6">
        <v>0</v>
      </c>
      <c r="L200" s="6">
        <v>0</v>
      </c>
      <c r="M200" s="6">
        <v>0</v>
      </c>
    </row>
    <row r="201" spans="1:13" ht="24" x14ac:dyDescent="0.4">
      <c r="A201" s="5" t="s">
        <v>219</v>
      </c>
      <c r="B201" s="5" t="s">
        <v>499</v>
      </c>
      <c r="C201" s="5" t="s">
        <v>384</v>
      </c>
      <c r="D201" s="5" t="s">
        <v>540</v>
      </c>
      <c r="E201" s="5" t="s">
        <v>539</v>
      </c>
      <c r="F201" s="6">
        <v>6705</v>
      </c>
      <c r="G201" s="6">
        <v>0</v>
      </c>
      <c r="H201" s="6">
        <v>0</v>
      </c>
      <c r="I201" s="6">
        <v>6705</v>
      </c>
      <c r="J201" s="6">
        <v>0</v>
      </c>
      <c r="K201" s="6">
        <v>0</v>
      </c>
      <c r="L201" s="6">
        <v>0</v>
      </c>
      <c r="M201" s="6">
        <v>0</v>
      </c>
    </row>
    <row r="202" spans="1:13" ht="24" x14ac:dyDescent="0.4">
      <c r="A202" s="5" t="s">
        <v>372</v>
      </c>
      <c r="B202" s="5" t="s">
        <v>501</v>
      </c>
      <c r="C202" s="5" t="s">
        <v>384</v>
      </c>
      <c r="D202" s="5" t="s">
        <v>540</v>
      </c>
      <c r="E202" s="5" t="s">
        <v>375</v>
      </c>
      <c r="F202" s="6">
        <v>14924</v>
      </c>
      <c r="G202" s="6">
        <v>0</v>
      </c>
      <c r="H202" s="6">
        <v>0</v>
      </c>
      <c r="I202" s="6">
        <v>14924</v>
      </c>
      <c r="J202" s="6">
        <v>0</v>
      </c>
      <c r="K202" s="6">
        <v>0</v>
      </c>
      <c r="L202" s="6">
        <v>0</v>
      </c>
      <c r="M202" s="6">
        <v>0</v>
      </c>
    </row>
    <row r="203" spans="1:13" ht="24" x14ac:dyDescent="0.4">
      <c r="A203" s="5" t="s">
        <v>315</v>
      </c>
      <c r="B203" s="5" t="s">
        <v>502</v>
      </c>
      <c r="C203" s="5" t="s">
        <v>384</v>
      </c>
      <c r="D203" s="5" t="s">
        <v>540</v>
      </c>
      <c r="E203" s="5" t="s">
        <v>375</v>
      </c>
      <c r="F203" s="6">
        <v>13637</v>
      </c>
      <c r="G203" s="6">
        <v>0</v>
      </c>
      <c r="H203" s="6">
        <v>0</v>
      </c>
      <c r="I203" s="6">
        <v>13637</v>
      </c>
      <c r="J203" s="6">
        <v>0</v>
      </c>
      <c r="K203" s="6">
        <v>0</v>
      </c>
      <c r="L203" s="6">
        <v>0</v>
      </c>
      <c r="M203" s="6">
        <v>0</v>
      </c>
    </row>
    <row r="204" spans="1:13" ht="24" x14ac:dyDescent="0.4">
      <c r="A204" s="5" t="s">
        <v>516</v>
      </c>
      <c r="B204" s="5" t="s">
        <v>517</v>
      </c>
      <c r="C204" s="5" t="s">
        <v>384</v>
      </c>
      <c r="D204" s="5" t="s">
        <v>568</v>
      </c>
      <c r="E204" s="5" t="s">
        <v>539</v>
      </c>
      <c r="F204" s="6">
        <v>36409</v>
      </c>
      <c r="G204" s="6">
        <v>0</v>
      </c>
      <c r="H204" s="6">
        <v>36409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</row>
    <row r="205" spans="1:13" ht="24" x14ac:dyDescent="0.4">
      <c r="A205" s="5" t="s">
        <v>246</v>
      </c>
      <c r="B205" s="5" t="s">
        <v>89</v>
      </c>
      <c r="C205" s="5" t="s">
        <v>384</v>
      </c>
      <c r="D205" s="5" t="s">
        <v>395</v>
      </c>
      <c r="E205" s="5" t="s">
        <v>539</v>
      </c>
      <c r="F205" s="6">
        <v>44612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44612</v>
      </c>
    </row>
    <row r="206" spans="1:13" ht="24" x14ac:dyDescent="0.4">
      <c r="A206" s="5" t="s">
        <v>275</v>
      </c>
      <c r="B206" s="5" t="s">
        <v>95</v>
      </c>
      <c r="C206" s="5" t="s">
        <v>384</v>
      </c>
      <c r="D206" s="5" t="s">
        <v>395</v>
      </c>
      <c r="E206" s="5" t="s">
        <v>539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</row>
    <row r="207" spans="1:13" ht="24" x14ac:dyDescent="0.4">
      <c r="A207" s="5" t="s">
        <v>285</v>
      </c>
      <c r="B207" s="5" t="s">
        <v>55</v>
      </c>
      <c r="C207" s="5" t="s">
        <v>384</v>
      </c>
      <c r="D207" s="5" t="s">
        <v>395</v>
      </c>
      <c r="E207" s="5" t="s">
        <v>408</v>
      </c>
      <c r="F207" s="6">
        <v>28513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28513</v>
      </c>
    </row>
    <row r="208" spans="1:13" ht="24" x14ac:dyDescent="0.4">
      <c r="A208" s="5" t="s">
        <v>325</v>
      </c>
      <c r="B208" s="5" t="s">
        <v>9</v>
      </c>
      <c r="C208" s="5" t="s">
        <v>384</v>
      </c>
      <c r="D208" s="5" t="s">
        <v>556</v>
      </c>
      <c r="E208" s="5" t="s">
        <v>375</v>
      </c>
      <c r="F208" s="6">
        <v>11564</v>
      </c>
      <c r="G208" s="6">
        <v>0</v>
      </c>
      <c r="H208" s="6">
        <v>11564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</row>
    <row r="209" spans="1:13" ht="24" x14ac:dyDescent="0.4">
      <c r="A209" s="5" t="s">
        <v>357</v>
      </c>
      <c r="B209" s="5" t="s">
        <v>156</v>
      </c>
      <c r="C209" s="5" t="s">
        <v>384</v>
      </c>
      <c r="D209" s="5" t="s">
        <v>560</v>
      </c>
      <c r="E209" s="5" t="s">
        <v>539</v>
      </c>
      <c r="F209" s="6">
        <v>5585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5585</v>
      </c>
    </row>
    <row r="210" spans="1:13" ht="24" x14ac:dyDescent="0.4">
      <c r="A210" s="5" t="s">
        <v>300</v>
      </c>
      <c r="B210" s="5" t="s">
        <v>35</v>
      </c>
      <c r="C210" s="5" t="s">
        <v>384</v>
      </c>
      <c r="D210" s="5" t="s">
        <v>560</v>
      </c>
      <c r="E210" s="5" t="s">
        <v>539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</row>
    <row r="211" spans="1:13" ht="24" x14ac:dyDescent="0.4">
      <c r="A211" s="5" t="s">
        <v>268</v>
      </c>
      <c r="B211" s="5" t="s">
        <v>97</v>
      </c>
      <c r="C211" s="5" t="s">
        <v>383</v>
      </c>
      <c r="D211" s="5" t="s">
        <v>544</v>
      </c>
      <c r="E211" s="5" t="s">
        <v>408</v>
      </c>
      <c r="F211" s="6">
        <v>3057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3057</v>
      </c>
    </row>
    <row r="212" spans="1:13" ht="24" x14ac:dyDescent="0.4">
      <c r="A212" s="5" t="s">
        <v>325</v>
      </c>
      <c r="B212" s="5" t="s">
        <v>511</v>
      </c>
      <c r="C212" s="5" t="s">
        <v>384</v>
      </c>
      <c r="D212" s="5" t="s">
        <v>536</v>
      </c>
      <c r="E212" s="5" t="s">
        <v>375</v>
      </c>
      <c r="F212" s="6">
        <v>24928</v>
      </c>
      <c r="G212" s="6">
        <v>0</v>
      </c>
      <c r="H212" s="6">
        <v>24928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</row>
    <row r="213" spans="1:13" ht="24" x14ac:dyDescent="0.4">
      <c r="A213" s="5" t="s">
        <v>318</v>
      </c>
      <c r="B213" s="5" t="s">
        <v>53</v>
      </c>
      <c r="C213" s="5" t="s">
        <v>384</v>
      </c>
      <c r="D213" s="5" t="s">
        <v>420</v>
      </c>
      <c r="E213" s="5" t="s">
        <v>539</v>
      </c>
      <c r="F213" s="6">
        <v>13394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13394</v>
      </c>
    </row>
    <row r="214" spans="1:13" s="7" customFormat="1" ht="24" x14ac:dyDescent="0.4">
      <c r="A214" s="5" t="s">
        <v>239</v>
      </c>
      <c r="B214" s="5" t="s">
        <v>117</v>
      </c>
      <c r="C214" s="5" t="s">
        <v>384</v>
      </c>
      <c r="D214" s="5" t="s">
        <v>557</v>
      </c>
      <c r="E214" s="5" t="s">
        <v>375</v>
      </c>
      <c r="F214" s="6">
        <v>10786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10786</v>
      </c>
    </row>
    <row r="215" spans="1:13" s="9" customFormat="1" ht="24" x14ac:dyDescent="0.4">
      <c r="A215" s="5" t="s">
        <v>193</v>
      </c>
      <c r="B215" s="5" t="s">
        <v>152</v>
      </c>
      <c r="C215" s="5" t="s">
        <v>384</v>
      </c>
      <c r="D215" s="5" t="s">
        <v>409</v>
      </c>
      <c r="E215" s="5" t="s">
        <v>375</v>
      </c>
      <c r="F215" s="6">
        <v>34180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34180</v>
      </c>
    </row>
    <row r="216" spans="1:13" s="9" customFormat="1" ht="24" x14ac:dyDescent="0.4">
      <c r="A216" s="5" t="s">
        <v>520</v>
      </c>
      <c r="B216" s="5" t="s">
        <v>519</v>
      </c>
      <c r="C216" s="5" t="s">
        <v>533</v>
      </c>
      <c r="D216" s="5" t="s">
        <v>534</v>
      </c>
      <c r="E216" s="5" t="s">
        <v>375</v>
      </c>
      <c r="F216" s="6">
        <v>11564</v>
      </c>
      <c r="G216" s="6">
        <v>0</v>
      </c>
      <c r="H216" s="6">
        <v>11564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</row>
    <row r="217" spans="1:13" s="9" customFormat="1" ht="24" x14ac:dyDescent="0.4">
      <c r="A217" s="5" t="s">
        <v>475</v>
      </c>
      <c r="B217" s="5" t="s">
        <v>472</v>
      </c>
      <c r="C217" s="5" t="s">
        <v>384</v>
      </c>
      <c r="D217" s="5" t="s">
        <v>541</v>
      </c>
      <c r="E217" s="5" t="s">
        <v>375</v>
      </c>
      <c r="F217" s="6">
        <v>9120</v>
      </c>
      <c r="G217" s="6">
        <v>0</v>
      </c>
      <c r="H217" s="6">
        <v>0</v>
      </c>
      <c r="I217" s="6">
        <v>0</v>
      </c>
      <c r="J217" s="6">
        <v>0</v>
      </c>
      <c r="K217" s="6">
        <v>9120</v>
      </c>
      <c r="L217" s="6">
        <v>0</v>
      </c>
      <c r="M217" s="6">
        <v>0</v>
      </c>
    </row>
    <row r="218" spans="1:13" s="9" customFormat="1" ht="24" x14ac:dyDescent="0.4">
      <c r="A218" s="5" t="s">
        <v>191</v>
      </c>
      <c r="B218" s="5" t="s">
        <v>137</v>
      </c>
      <c r="C218" s="5" t="s">
        <v>387</v>
      </c>
      <c r="D218" s="5" t="s">
        <v>426</v>
      </c>
      <c r="E218" s="5" t="s">
        <v>375</v>
      </c>
      <c r="F218" s="6">
        <v>136293</v>
      </c>
      <c r="G218" s="6">
        <v>136293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</row>
    <row r="219" spans="1:13" s="9" customFormat="1" ht="24" x14ac:dyDescent="0.4">
      <c r="A219" s="5" t="s">
        <v>218</v>
      </c>
      <c r="B219" s="5" t="s">
        <v>143</v>
      </c>
      <c r="C219" s="5" t="s">
        <v>387</v>
      </c>
      <c r="D219" s="5" t="s">
        <v>426</v>
      </c>
      <c r="E219" s="5" t="s">
        <v>375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</row>
    <row r="220" spans="1:13" s="9" customFormat="1" ht="24" x14ac:dyDescent="0.4">
      <c r="A220" s="5" t="s">
        <v>480</v>
      </c>
      <c r="B220" s="5" t="s">
        <v>477</v>
      </c>
      <c r="C220" s="5" t="s">
        <v>483</v>
      </c>
      <c r="D220" s="5" t="s">
        <v>483</v>
      </c>
      <c r="E220" s="5" t="s">
        <v>375</v>
      </c>
      <c r="F220" s="6">
        <v>42893</v>
      </c>
      <c r="G220" s="6">
        <v>24963</v>
      </c>
      <c r="H220" s="6">
        <v>0</v>
      </c>
      <c r="I220" s="6">
        <v>0</v>
      </c>
      <c r="J220" s="6">
        <v>0</v>
      </c>
      <c r="K220" s="6">
        <v>17930</v>
      </c>
      <c r="L220" s="6">
        <v>0</v>
      </c>
      <c r="M220" s="6">
        <v>0</v>
      </c>
    </row>
    <row r="221" spans="1:13" s="9" customFormat="1" ht="24" x14ac:dyDescent="0.4">
      <c r="A221" s="5" t="s">
        <v>256</v>
      </c>
      <c r="B221" s="5" t="s">
        <v>76</v>
      </c>
      <c r="C221" s="5" t="s">
        <v>384</v>
      </c>
      <c r="D221" s="5" t="s">
        <v>434</v>
      </c>
      <c r="E221" s="5" t="s">
        <v>375</v>
      </c>
      <c r="F221" s="6">
        <v>24621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24621</v>
      </c>
    </row>
    <row r="222" spans="1:13" s="10" customFormat="1" ht="24" x14ac:dyDescent="0.4">
      <c r="A222" s="5" t="s">
        <v>468</v>
      </c>
      <c r="B222" s="5" t="s">
        <v>454</v>
      </c>
      <c r="C222" s="5" t="s">
        <v>384</v>
      </c>
      <c r="D222" s="5" t="s">
        <v>487</v>
      </c>
      <c r="E222" s="5" t="s">
        <v>375</v>
      </c>
      <c r="F222" s="6">
        <v>15624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15624</v>
      </c>
      <c r="M222" s="6">
        <v>0</v>
      </c>
    </row>
    <row r="223" spans="1:13" s="11" customFormat="1" ht="24" x14ac:dyDescent="0.4">
      <c r="A223" s="5" t="s">
        <v>200</v>
      </c>
      <c r="B223" s="5" t="s">
        <v>130</v>
      </c>
      <c r="C223" s="5" t="s">
        <v>384</v>
      </c>
      <c r="D223" s="5" t="s">
        <v>442</v>
      </c>
      <c r="E223" s="5" t="s">
        <v>408</v>
      </c>
      <c r="F223" s="6">
        <v>11244</v>
      </c>
      <c r="G223" s="6">
        <v>0</v>
      </c>
      <c r="H223" s="6">
        <v>0</v>
      </c>
      <c r="I223" s="6">
        <v>11244</v>
      </c>
      <c r="J223" s="6">
        <v>0</v>
      </c>
      <c r="K223" s="6">
        <v>0</v>
      </c>
      <c r="L223" s="6">
        <v>0</v>
      </c>
      <c r="M223" s="6">
        <v>0</v>
      </c>
    </row>
    <row r="224" spans="1:13" s="11" customFormat="1" ht="24" x14ac:dyDescent="0.4">
      <c r="A224" s="5" t="s">
        <v>358</v>
      </c>
      <c r="B224" s="5" t="s">
        <v>157</v>
      </c>
      <c r="C224" s="5" t="s">
        <v>384</v>
      </c>
      <c r="D224" s="5" t="s">
        <v>561</v>
      </c>
      <c r="E224" s="5" t="s">
        <v>375</v>
      </c>
      <c r="F224" s="6">
        <v>3875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3875</v>
      </c>
    </row>
    <row r="225" spans="1:13" s="11" customFormat="1" ht="24" x14ac:dyDescent="0.4">
      <c r="A225" s="5" t="s">
        <v>244</v>
      </c>
      <c r="B225" s="5" t="s">
        <v>102</v>
      </c>
      <c r="C225" s="5" t="s">
        <v>384</v>
      </c>
      <c r="D225" s="5" t="s">
        <v>391</v>
      </c>
      <c r="E225" s="5" t="s">
        <v>375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</row>
    <row r="226" spans="1:13" s="12" customFormat="1" ht="24" x14ac:dyDescent="0.4">
      <c r="A226" s="5" t="s">
        <v>282</v>
      </c>
      <c r="B226" s="5" t="s">
        <v>52</v>
      </c>
      <c r="C226" s="5" t="s">
        <v>384</v>
      </c>
      <c r="D226" s="5" t="s">
        <v>415</v>
      </c>
      <c r="E226" s="5" t="s">
        <v>539</v>
      </c>
      <c r="F226" s="6">
        <v>75051</v>
      </c>
      <c r="G226" s="6">
        <v>0</v>
      </c>
      <c r="H226" s="6">
        <v>0</v>
      </c>
      <c r="I226" s="6">
        <v>0</v>
      </c>
      <c r="J226" s="6">
        <v>14910</v>
      </c>
      <c r="K226" s="6">
        <v>42500</v>
      </c>
      <c r="L226" s="6">
        <v>8809</v>
      </c>
      <c r="M226" s="6">
        <v>8832</v>
      </c>
    </row>
    <row r="227" spans="1:13" s="12" customFormat="1" ht="24" x14ac:dyDescent="0.4">
      <c r="A227" s="5" t="s">
        <v>356</v>
      </c>
      <c r="B227" s="5" t="s">
        <v>162</v>
      </c>
      <c r="C227" s="5" t="s">
        <v>384</v>
      </c>
      <c r="D227" s="5" t="s">
        <v>439</v>
      </c>
      <c r="E227" s="5" t="s">
        <v>539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</row>
    <row r="228" spans="1:13" s="13" customFormat="1" ht="24" x14ac:dyDescent="0.4">
      <c r="A228" s="5" t="s">
        <v>360</v>
      </c>
      <c r="B228" s="5" t="s">
        <v>174</v>
      </c>
      <c r="C228" s="5" t="s">
        <v>384</v>
      </c>
      <c r="D228" s="5" t="s">
        <v>548</v>
      </c>
      <c r="E228" s="5" t="s">
        <v>484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</row>
    <row r="229" spans="1:13" s="13" customFormat="1" ht="24" x14ac:dyDescent="0.4">
      <c r="A229" s="5" t="s">
        <v>343</v>
      </c>
      <c r="B229" s="5" t="s">
        <v>173</v>
      </c>
      <c r="C229" s="5" t="s">
        <v>384</v>
      </c>
      <c r="D229" s="5" t="s">
        <v>548</v>
      </c>
      <c r="E229" s="5" t="s">
        <v>408</v>
      </c>
      <c r="F229" s="6">
        <v>24108</v>
      </c>
      <c r="G229" s="6">
        <v>0</v>
      </c>
      <c r="H229" s="6">
        <v>10992</v>
      </c>
      <c r="I229" s="6">
        <v>0</v>
      </c>
      <c r="J229" s="6">
        <v>0</v>
      </c>
      <c r="K229" s="6">
        <v>0</v>
      </c>
      <c r="L229" s="6">
        <v>0</v>
      </c>
      <c r="M229" s="6">
        <v>13116</v>
      </c>
    </row>
    <row r="230" spans="1:13" s="13" customFormat="1" ht="24" x14ac:dyDescent="0.4">
      <c r="A230" s="5" t="s">
        <v>209</v>
      </c>
      <c r="B230" s="5" t="s">
        <v>153</v>
      </c>
      <c r="C230" s="5" t="s">
        <v>384</v>
      </c>
      <c r="D230" s="5" t="s">
        <v>548</v>
      </c>
      <c r="E230" s="5" t="s">
        <v>408</v>
      </c>
      <c r="F230" s="6">
        <v>2657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2657</v>
      </c>
    </row>
    <row r="231" spans="1:13" s="14" customFormat="1" ht="24" x14ac:dyDescent="0.4">
      <c r="A231" s="5" t="s">
        <v>492</v>
      </c>
      <c r="B231" s="5" t="s">
        <v>491</v>
      </c>
      <c r="C231" s="5" t="s">
        <v>384</v>
      </c>
      <c r="D231" s="5" t="s">
        <v>548</v>
      </c>
      <c r="E231" s="5" t="s">
        <v>375</v>
      </c>
      <c r="F231" s="6">
        <v>9792</v>
      </c>
      <c r="G231" s="6">
        <v>0</v>
      </c>
      <c r="H231" s="6">
        <v>0</v>
      </c>
      <c r="I231" s="6">
        <v>9792</v>
      </c>
      <c r="J231" s="6">
        <v>0</v>
      </c>
      <c r="K231" s="6">
        <v>0</v>
      </c>
      <c r="L231" s="6">
        <v>0</v>
      </c>
      <c r="M231" s="6">
        <v>0</v>
      </c>
    </row>
    <row r="232" spans="1:13" s="14" customFormat="1" ht="24" x14ac:dyDescent="0.4">
      <c r="A232" s="5" t="s">
        <v>212</v>
      </c>
      <c r="B232" s="5" t="s">
        <v>151</v>
      </c>
      <c r="C232" s="5" t="s">
        <v>384</v>
      </c>
      <c r="D232" s="5" t="s">
        <v>548</v>
      </c>
      <c r="E232" s="5" t="s">
        <v>375</v>
      </c>
      <c r="F232" s="6">
        <v>590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590</v>
      </c>
    </row>
  </sheetData>
  <autoFilter ref="A3:M232" xr:uid="{91C58ACC-F99B-45EE-8C48-438A108FDA06}">
    <sortState xmlns:xlrd2="http://schemas.microsoft.com/office/spreadsheetml/2017/richdata2" ref="A4:M8">
      <sortCondition descending="1" ref="B3:B232"/>
    </sortState>
  </autoFilter>
  <mergeCells count="4">
    <mergeCell ref="A2:B2"/>
    <mergeCell ref="G1:I1"/>
    <mergeCell ref="A1:F1"/>
    <mergeCell ref="J1:M1"/>
  </mergeCells>
  <phoneticPr fontId="2" type="noConversion"/>
  <conditionalFormatting sqref="H4:M232">
    <cfRule type="cellIs" dxfId="2" priority="1" operator="greaterThan">
      <formula>0</formula>
    </cfRule>
    <cfRule type="cellIs" dxfId="1" priority="2" operator="lessThan">
      <formula>0</formula>
    </cfRule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9B3A-566F-4F1B-AE47-7EDA77E7B6E8}">
  <dimension ref="A1:I176"/>
  <sheetViews>
    <sheetView workbookViewId="0">
      <selection activeCell="A24" sqref="A1:I176"/>
    </sheetView>
  </sheetViews>
  <sheetFormatPr defaultRowHeight="15" x14ac:dyDescent="0.25"/>
  <cols>
    <col min="1" max="1" width="42.7109375" bestFit="1" customWidth="1"/>
    <col min="2" max="2" width="11.42578125" bestFit="1" customWidth="1"/>
    <col min="3" max="5" width="11.7109375" bestFit="1" customWidth="1"/>
  </cols>
  <sheetData>
    <row r="1" spans="1:9" x14ac:dyDescent="0.25">
      <c r="A1" s="15"/>
      <c r="B1" s="28"/>
      <c r="C1" s="28"/>
      <c r="D1" s="28"/>
      <c r="E1" s="28"/>
      <c r="F1" s="28"/>
      <c r="G1" s="28"/>
      <c r="H1" s="28"/>
      <c r="I1" s="28"/>
    </row>
    <row r="2" spans="1:9" x14ac:dyDescent="0.25">
      <c r="A2" s="16"/>
      <c r="B2" s="17"/>
      <c r="C2" s="18"/>
      <c r="D2" s="19"/>
      <c r="E2" s="18"/>
      <c r="F2" s="19"/>
      <c r="G2" s="18"/>
      <c r="H2" s="19"/>
      <c r="I2" s="20"/>
    </row>
    <row r="3" spans="1:9" x14ac:dyDescent="0.25">
      <c r="A3" s="16"/>
      <c r="B3" s="21"/>
      <c r="C3" s="22"/>
      <c r="D3" s="23"/>
      <c r="E3" s="22"/>
      <c r="F3" s="23"/>
      <c r="G3" s="22"/>
      <c r="H3" s="23"/>
      <c r="I3" s="24"/>
    </row>
    <row r="4" spans="1:9" x14ac:dyDescent="0.25">
      <c r="A4" s="16"/>
      <c r="B4" s="21"/>
      <c r="C4" s="22"/>
      <c r="D4" s="23"/>
      <c r="E4" s="22"/>
      <c r="F4" s="23"/>
      <c r="G4" s="22"/>
      <c r="H4" s="21"/>
      <c r="I4" s="22"/>
    </row>
    <row r="5" spans="1:9" x14ac:dyDescent="0.25">
      <c r="A5" s="16"/>
      <c r="B5" s="21"/>
      <c r="C5" s="22"/>
      <c r="D5" s="23"/>
      <c r="E5" s="24"/>
      <c r="F5" s="23"/>
      <c r="G5" s="22"/>
      <c r="H5" s="23"/>
      <c r="I5" s="22"/>
    </row>
    <row r="6" spans="1:9" x14ac:dyDescent="0.25">
      <c r="A6" s="16"/>
      <c r="B6" s="21"/>
      <c r="C6" s="22"/>
      <c r="D6" s="21"/>
      <c r="E6" s="22"/>
      <c r="F6" s="23"/>
      <c r="G6" s="22"/>
      <c r="H6" s="23"/>
      <c r="I6" s="22"/>
    </row>
    <row r="7" spans="1:9" x14ac:dyDescent="0.25">
      <c r="A7" s="16"/>
      <c r="B7" s="21"/>
      <c r="C7" s="22"/>
      <c r="D7" s="23"/>
      <c r="E7" s="22"/>
      <c r="F7" s="23"/>
      <c r="G7" s="22"/>
      <c r="H7" s="23"/>
      <c r="I7" s="24"/>
    </row>
    <row r="8" spans="1:9" x14ac:dyDescent="0.25">
      <c r="A8" s="16"/>
      <c r="B8" s="21"/>
      <c r="C8" s="24"/>
      <c r="D8" s="23"/>
      <c r="E8" s="22"/>
      <c r="F8" s="23"/>
      <c r="G8" s="22"/>
      <c r="H8" s="23"/>
      <c r="I8" s="22"/>
    </row>
    <row r="9" spans="1:9" x14ac:dyDescent="0.25">
      <c r="A9" s="16"/>
      <c r="B9" s="21"/>
      <c r="C9" s="22"/>
      <c r="D9" s="23"/>
      <c r="E9" s="24"/>
      <c r="F9" s="23"/>
      <c r="G9" s="24"/>
      <c r="H9" s="21"/>
      <c r="I9" s="22"/>
    </row>
    <row r="10" spans="1:9" x14ac:dyDescent="0.25">
      <c r="A10" s="16"/>
      <c r="B10" s="21"/>
      <c r="C10" s="22"/>
      <c r="D10" s="21"/>
      <c r="E10" s="22"/>
      <c r="F10" s="23"/>
      <c r="G10" s="22"/>
      <c r="H10" s="23"/>
      <c r="I10" s="22"/>
    </row>
    <row r="11" spans="1:9" x14ac:dyDescent="0.25">
      <c r="A11" s="16"/>
      <c r="B11" s="21"/>
      <c r="C11" s="22"/>
      <c r="D11" s="23"/>
      <c r="E11" s="24"/>
      <c r="F11" s="23"/>
      <c r="G11" s="22"/>
      <c r="H11" s="23"/>
      <c r="I11" s="22"/>
    </row>
    <row r="12" spans="1:9" x14ac:dyDescent="0.25">
      <c r="A12" s="16"/>
      <c r="B12" s="21"/>
      <c r="C12" s="22"/>
      <c r="D12" s="21"/>
      <c r="E12" s="22"/>
      <c r="F12" s="23"/>
      <c r="G12" s="22"/>
      <c r="H12" s="23"/>
      <c r="I12" s="22"/>
    </row>
    <row r="13" spans="1:9" x14ac:dyDescent="0.25">
      <c r="A13" s="16"/>
      <c r="B13" s="21"/>
      <c r="C13" s="22"/>
      <c r="D13" s="23"/>
      <c r="E13" s="22"/>
      <c r="F13" s="23"/>
      <c r="G13" s="22"/>
      <c r="H13" s="23"/>
      <c r="I13" s="24"/>
    </row>
    <row r="14" spans="1:9" x14ac:dyDescent="0.25">
      <c r="A14" s="16"/>
      <c r="B14" s="21"/>
      <c r="C14" s="22"/>
      <c r="D14" s="23"/>
      <c r="E14" s="22"/>
      <c r="F14" s="23"/>
      <c r="G14" s="22"/>
      <c r="H14" s="23"/>
      <c r="I14" s="24"/>
    </row>
    <row r="15" spans="1:9" x14ac:dyDescent="0.25">
      <c r="A15" s="16"/>
      <c r="B15" s="21"/>
      <c r="C15" s="22"/>
      <c r="D15" s="23"/>
      <c r="E15" s="24"/>
      <c r="F15" s="23"/>
      <c r="G15" s="22"/>
      <c r="H15" s="23"/>
      <c r="I15" s="22"/>
    </row>
    <row r="16" spans="1:9" x14ac:dyDescent="0.25">
      <c r="A16" s="16"/>
      <c r="B16" s="21"/>
      <c r="C16" s="24"/>
      <c r="D16" s="23"/>
      <c r="E16" s="22"/>
      <c r="F16" s="23"/>
      <c r="G16" s="22"/>
      <c r="H16" s="23"/>
      <c r="I16" s="22"/>
    </row>
    <row r="17" spans="1:9" x14ac:dyDescent="0.25">
      <c r="A17" s="16"/>
      <c r="B17" s="21"/>
      <c r="C17" s="22"/>
      <c r="D17" s="23"/>
      <c r="E17" s="22"/>
      <c r="F17" s="23"/>
      <c r="G17" s="24"/>
      <c r="H17" s="23"/>
      <c r="I17" s="22"/>
    </row>
    <row r="18" spans="1:9" x14ac:dyDescent="0.25">
      <c r="A18" s="16"/>
      <c r="B18" s="21"/>
      <c r="C18" s="22"/>
      <c r="D18" s="23"/>
      <c r="E18" s="22"/>
      <c r="F18" s="23"/>
      <c r="G18" s="22"/>
      <c r="H18" s="23"/>
      <c r="I18" s="24"/>
    </row>
    <row r="19" spans="1:9" x14ac:dyDescent="0.25">
      <c r="A19" s="16"/>
      <c r="B19" s="21"/>
      <c r="C19" s="22"/>
      <c r="D19" s="23"/>
      <c r="E19" s="22"/>
      <c r="F19" s="23"/>
      <c r="G19" s="22"/>
      <c r="H19" s="23"/>
      <c r="I19" s="24"/>
    </row>
    <row r="20" spans="1:9" x14ac:dyDescent="0.25">
      <c r="A20" s="16"/>
      <c r="B20" s="21"/>
      <c r="C20" s="22"/>
      <c r="D20" s="23"/>
      <c r="E20" s="24"/>
      <c r="F20" s="23"/>
      <c r="G20" s="24"/>
      <c r="H20" s="23"/>
      <c r="I20" s="24"/>
    </row>
    <row r="21" spans="1:9" x14ac:dyDescent="0.25">
      <c r="A21" s="16"/>
      <c r="B21" s="21"/>
      <c r="C21" s="22"/>
      <c r="D21" s="21"/>
      <c r="E21" s="22"/>
      <c r="F21" s="23"/>
      <c r="G21" s="24"/>
      <c r="H21" s="23"/>
      <c r="I21" s="22"/>
    </row>
    <row r="22" spans="1:9" x14ac:dyDescent="0.25">
      <c r="A22" s="16"/>
      <c r="B22" s="21"/>
      <c r="C22" s="22"/>
      <c r="D22" s="23"/>
      <c r="E22" s="22"/>
      <c r="F22" s="23"/>
      <c r="G22" s="22"/>
      <c r="H22" s="23"/>
      <c r="I22" s="24"/>
    </row>
    <row r="23" spans="1:9" x14ac:dyDescent="0.25">
      <c r="A23" s="16"/>
      <c r="B23" s="21"/>
      <c r="C23" s="24"/>
      <c r="D23" s="23"/>
      <c r="E23" s="22"/>
      <c r="F23" s="23"/>
      <c r="G23" s="22"/>
      <c r="H23" s="23"/>
      <c r="I23" s="22"/>
    </row>
    <row r="24" spans="1:9" x14ac:dyDescent="0.25">
      <c r="A24" s="16"/>
      <c r="B24" s="21"/>
      <c r="C24" s="22"/>
      <c r="D24" s="23"/>
      <c r="E24" s="22"/>
      <c r="F24" s="23"/>
      <c r="G24" s="22"/>
      <c r="H24" s="23"/>
      <c r="I24" s="24"/>
    </row>
    <row r="25" spans="1:9" x14ac:dyDescent="0.25">
      <c r="A25" s="16"/>
      <c r="B25" s="21"/>
      <c r="C25" s="22"/>
      <c r="D25" s="23"/>
      <c r="E25" s="22"/>
      <c r="F25" s="23"/>
      <c r="G25" s="22"/>
      <c r="H25" s="23"/>
      <c r="I25" s="24"/>
    </row>
    <row r="26" spans="1:9" x14ac:dyDescent="0.25">
      <c r="A26" s="16"/>
      <c r="B26" s="21"/>
      <c r="C26" s="22"/>
      <c r="D26" s="23"/>
      <c r="E26" s="22"/>
      <c r="F26" s="23"/>
      <c r="G26" s="22"/>
      <c r="H26" s="23"/>
      <c r="I26" s="24"/>
    </row>
    <row r="27" spans="1:9" x14ac:dyDescent="0.25">
      <c r="A27" s="16"/>
      <c r="B27" s="21"/>
      <c r="C27" s="22"/>
      <c r="D27" s="21"/>
      <c r="E27" s="22"/>
      <c r="F27" s="23"/>
      <c r="G27" s="24"/>
      <c r="H27" s="23"/>
      <c r="I27" s="22"/>
    </row>
    <row r="28" spans="1:9" x14ac:dyDescent="0.25">
      <c r="A28" s="16"/>
      <c r="B28" s="21"/>
      <c r="C28" s="22"/>
      <c r="D28" s="23"/>
      <c r="E28" s="22"/>
      <c r="F28" s="23"/>
      <c r="G28" s="22"/>
      <c r="H28" s="23"/>
      <c r="I28" s="24"/>
    </row>
    <row r="29" spans="1:9" x14ac:dyDescent="0.25">
      <c r="A29" s="16"/>
      <c r="B29" s="21"/>
      <c r="C29" s="22"/>
      <c r="D29" s="23"/>
      <c r="E29" s="24"/>
      <c r="F29" s="23"/>
      <c r="G29" s="22"/>
      <c r="H29" s="23"/>
      <c r="I29" s="22"/>
    </row>
    <row r="30" spans="1:9" x14ac:dyDescent="0.25">
      <c r="A30" s="16"/>
      <c r="B30" s="21"/>
      <c r="C30" s="22"/>
      <c r="D30" s="23"/>
      <c r="E30" s="24"/>
      <c r="F30" s="23"/>
      <c r="G30" s="22"/>
      <c r="H30" s="23"/>
      <c r="I30" s="24"/>
    </row>
    <row r="31" spans="1:9" x14ac:dyDescent="0.25">
      <c r="A31" s="16"/>
      <c r="B31" s="21"/>
      <c r="C31" s="22"/>
      <c r="D31" s="21"/>
      <c r="E31" s="22"/>
      <c r="F31" s="23"/>
      <c r="G31" s="22"/>
      <c r="H31" s="23"/>
      <c r="I31" s="22"/>
    </row>
    <row r="32" spans="1:9" x14ac:dyDescent="0.25">
      <c r="A32" s="16"/>
      <c r="B32" s="21"/>
      <c r="C32" s="22"/>
      <c r="D32" s="23"/>
      <c r="E32" s="22"/>
      <c r="F32" s="23"/>
      <c r="G32" s="22"/>
      <c r="H32" s="23"/>
      <c r="I32" s="24"/>
    </row>
    <row r="33" spans="1:9" x14ac:dyDescent="0.25">
      <c r="A33" s="16"/>
      <c r="B33" s="21"/>
      <c r="C33" s="22"/>
      <c r="D33" s="23"/>
      <c r="E33" s="22"/>
      <c r="F33" s="23"/>
      <c r="G33" s="22"/>
      <c r="H33" s="23"/>
      <c r="I33" s="24"/>
    </row>
    <row r="34" spans="1:9" x14ac:dyDescent="0.25">
      <c r="A34" s="16"/>
      <c r="B34" s="21"/>
      <c r="C34" s="22"/>
      <c r="D34" s="23"/>
      <c r="E34" s="22"/>
      <c r="F34" s="23"/>
      <c r="G34" s="22"/>
      <c r="H34" s="23"/>
      <c r="I34" s="24"/>
    </row>
    <row r="35" spans="1:9" x14ac:dyDescent="0.25">
      <c r="A35" s="16"/>
      <c r="B35" s="21"/>
      <c r="C35" s="24"/>
      <c r="D35" s="21"/>
      <c r="E35" s="24"/>
      <c r="F35" s="23"/>
      <c r="G35" s="24"/>
      <c r="H35" s="23"/>
      <c r="I35" s="22"/>
    </row>
    <row r="36" spans="1:9" x14ac:dyDescent="0.25">
      <c r="A36" s="16"/>
      <c r="B36" s="21"/>
      <c r="C36" s="22"/>
      <c r="D36" s="23"/>
      <c r="E36" s="22"/>
      <c r="F36" s="23"/>
      <c r="G36" s="22"/>
      <c r="H36" s="23"/>
      <c r="I36" s="24"/>
    </row>
    <row r="37" spans="1:9" x14ac:dyDescent="0.25">
      <c r="A37" s="16"/>
      <c r="B37" s="21"/>
      <c r="C37" s="22"/>
      <c r="D37" s="23"/>
      <c r="E37" s="22"/>
      <c r="F37" s="23"/>
      <c r="G37" s="22"/>
      <c r="H37" s="23"/>
      <c r="I37" s="24"/>
    </row>
    <row r="38" spans="1:9" x14ac:dyDescent="0.25">
      <c r="A38" s="16"/>
      <c r="B38" s="21"/>
      <c r="C38" s="22"/>
      <c r="D38" s="23"/>
      <c r="E38" s="22"/>
      <c r="F38" s="23"/>
      <c r="G38" s="22"/>
      <c r="H38" s="23"/>
      <c r="I38" s="24"/>
    </row>
    <row r="39" spans="1:9" x14ac:dyDescent="0.25">
      <c r="A39" s="16"/>
      <c r="B39" s="21"/>
      <c r="C39" s="22"/>
      <c r="D39" s="23"/>
      <c r="E39" s="22"/>
      <c r="F39" s="23"/>
      <c r="G39" s="22"/>
      <c r="H39" s="23"/>
      <c r="I39" s="24"/>
    </row>
    <row r="40" spans="1:9" x14ac:dyDescent="0.25">
      <c r="A40" s="16"/>
      <c r="B40" s="21"/>
      <c r="C40" s="22"/>
      <c r="D40" s="23"/>
      <c r="E40" s="22"/>
      <c r="F40" s="23"/>
      <c r="G40" s="22"/>
      <c r="H40" s="23"/>
      <c r="I40" s="24"/>
    </row>
    <row r="41" spans="1:9" x14ac:dyDescent="0.25">
      <c r="A41" s="16"/>
      <c r="B41" s="21"/>
      <c r="C41" s="24"/>
      <c r="D41" s="23"/>
      <c r="E41" s="22"/>
      <c r="F41" s="23"/>
      <c r="G41" s="22"/>
      <c r="H41" s="23"/>
      <c r="I41" s="22"/>
    </row>
    <row r="42" spans="1:9" x14ac:dyDescent="0.25">
      <c r="A42" s="16"/>
      <c r="B42" s="21"/>
      <c r="C42" s="22"/>
      <c r="D42" s="23"/>
      <c r="E42" s="22"/>
      <c r="F42" s="23"/>
      <c r="G42" s="22"/>
      <c r="H42" s="23"/>
      <c r="I42" s="24"/>
    </row>
    <row r="43" spans="1:9" x14ac:dyDescent="0.25">
      <c r="A43" s="16"/>
      <c r="B43" s="21"/>
      <c r="C43" s="22"/>
      <c r="D43" s="23"/>
      <c r="E43" s="22"/>
      <c r="F43" s="23"/>
      <c r="G43" s="22"/>
      <c r="H43" s="23"/>
      <c r="I43" s="24"/>
    </row>
    <row r="44" spans="1:9" x14ac:dyDescent="0.25">
      <c r="A44" s="16"/>
      <c r="B44" s="21"/>
      <c r="C44" s="22"/>
      <c r="D44" s="21"/>
      <c r="E44" s="22"/>
      <c r="F44" s="23"/>
      <c r="G44" s="22"/>
      <c r="H44" s="23"/>
      <c r="I44" s="24"/>
    </row>
    <row r="45" spans="1:9" x14ac:dyDescent="0.25">
      <c r="A45" s="16"/>
      <c r="B45" s="21"/>
      <c r="C45" s="22"/>
      <c r="D45" s="21"/>
      <c r="E45" s="22"/>
      <c r="F45" s="23"/>
      <c r="G45" s="22"/>
      <c r="H45" s="23"/>
      <c r="I45" s="22"/>
    </row>
    <row r="46" spans="1:9" x14ac:dyDescent="0.25">
      <c r="A46" s="16"/>
      <c r="B46" s="21"/>
      <c r="C46" s="22"/>
      <c r="D46" s="23"/>
      <c r="E46" s="22"/>
      <c r="F46" s="23"/>
      <c r="G46" s="22"/>
      <c r="H46" s="23"/>
      <c r="I46" s="24"/>
    </row>
    <row r="47" spans="1:9" x14ac:dyDescent="0.25">
      <c r="A47" s="16"/>
      <c r="B47" s="21"/>
      <c r="C47" s="22"/>
      <c r="D47" s="23"/>
      <c r="E47" s="22"/>
      <c r="F47" s="23"/>
      <c r="G47" s="22"/>
      <c r="H47" s="21"/>
      <c r="I47" s="24"/>
    </row>
    <row r="48" spans="1:9" x14ac:dyDescent="0.25">
      <c r="A48" s="16"/>
      <c r="B48" s="21"/>
      <c r="C48" s="22"/>
      <c r="D48" s="21"/>
      <c r="E48" s="22"/>
      <c r="F48" s="23"/>
      <c r="G48" s="22"/>
      <c r="H48" s="23"/>
      <c r="I48" s="22"/>
    </row>
    <row r="49" spans="1:9" x14ac:dyDescent="0.25">
      <c r="A49" s="16"/>
      <c r="B49" s="21"/>
      <c r="C49" s="22"/>
      <c r="D49" s="23"/>
      <c r="E49" s="22"/>
      <c r="F49" s="23"/>
      <c r="G49" s="22"/>
      <c r="H49" s="23"/>
      <c r="I49" s="24"/>
    </row>
    <row r="50" spans="1:9" x14ac:dyDescent="0.25">
      <c r="A50" s="16"/>
      <c r="B50" s="21"/>
      <c r="C50" s="22"/>
      <c r="D50" s="23"/>
      <c r="E50" s="22"/>
      <c r="F50" s="23"/>
      <c r="G50" s="22"/>
      <c r="H50" s="23"/>
      <c r="I50" s="24"/>
    </row>
    <row r="51" spans="1:9" x14ac:dyDescent="0.25">
      <c r="A51" s="16"/>
      <c r="B51" s="21"/>
      <c r="C51" s="22"/>
      <c r="D51" s="23"/>
      <c r="E51" s="22"/>
      <c r="F51" s="23"/>
      <c r="G51" s="22"/>
      <c r="H51" s="23"/>
      <c r="I51" s="24"/>
    </row>
    <row r="52" spans="1:9" x14ac:dyDescent="0.25">
      <c r="A52" s="16"/>
      <c r="B52" s="21"/>
      <c r="C52" s="22"/>
      <c r="D52" s="23"/>
      <c r="E52" s="24"/>
      <c r="F52" s="23"/>
      <c r="G52" s="22"/>
      <c r="H52" s="23"/>
      <c r="I52" s="24"/>
    </row>
    <row r="53" spans="1:9" x14ac:dyDescent="0.25">
      <c r="A53" s="16"/>
      <c r="B53" s="21"/>
      <c r="C53" s="22"/>
      <c r="D53" s="23"/>
      <c r="E53" s="22"/>
      <c r="F53" s="23"/>
      <c r="G53" s="22"/>
      <c r="H53" s="23"/>
      <c r="I53" s="24"/>
    </row>
    <row r="54" spans="1:9" x14ac:dyDescent="0.25">
      <c r="A54" s="16"/>
      <c r="B54" s="21"/>
      <c r="C54" s="22"/>
      <c r="D54" s="23"/>
      <c r="E54" s="22"/>
      <c r="F54" s="23"/>
      <c r="G54" s="22"/>
      <c r="H54" s="23"/>
      <c r="I54" s="24"/>
    </row>
    <row r="55" spans="1:9" x14ac:dyDescent="0.25">
      <c r="A55" s="16"/>
      <c r="B55" s="21"/>
      <c r="C55" s="22"/>
      <c r="D55" s="23"/>
      <c r="E55" s="22"/>
      <c r="F55" s="23"/>
      <c r="G55" s="22"/>
      <c r="H55" s="23"/>
      <c r="I55" s="22"/>
    </row>
    <row r="56" spans="1:9" x14ac:dyDescent="0.25">
      <c r="A56" s="16"/>
      <c r="B56" s="21"/>
      <c r="C56" s="22"/>
      <c r="D56" s="23"/>
      <c r="E56" s="24"/>
      <c r="F56" s="23"/>
      <c r="G56" s="22"/>
      <c r="H56" s="23"/>
      <c r="I56" s="24"/>
    </row>
    <row r="57" spans="1:9" x14ac:dyDescent="0.25">
      <c r="A57" s="16"/>
      <c r="B57" s="21"/>
      <c r="C57" s="22"/>
      <c r="D57" s="23"/>
      <c r="E57" s="24"/>
      <c r="F57" s="23"/>
      <c r="G57" s="22"/>
      <c r="H57" s="23"/>
      <c r="I57" s="24"/>
    </row>
    <row r="58" spans="1:9" x14ac:dyDescent="0.25">
      <c r="A58" s="16"/>
      <c r="B58" s="21"/>
      <c r="C58" s="22"/>
      <c r="D58" s="23"/>
      <c r="E58" s="22"/>
      <c r="F58" s="23"/>
      <c r="G58" s="22"/>
      <c r="H58" s="23"/>
      <c r="I58" s="24"/>
    </row>
    <row r="59" spans="1:9" x14ac:dyDescent="0.25">
      <c r="A59" s="16"/>
      <c r="B59" s="21"/>
      <c r="C59" s="22"/>
      <c r="D59" s="23"/>
      <c r="E59" s="24"/>
      <c r="F59" s="23"/>
      <c r="G59" s="22"/>
      <c r="H59" s="23"/>
      <c r="I59" s="22"/>
    </row>
    <row r="60" spans="1:9" x14ac:dyDescent="0.25">
      <c r="A60" s="16"/>
      <c r="B60" s="21"/>
      <c r="C60" s="22"/>
      <c r="D60" s="21"/>
      <c r="E60" s="22"/>
      <c r="F60" s="23"/>
      <c r="G60" s="22"/>
      <c r="H60" s="23"/>
      <c r="I60" s="22"/>
    </row>
    <row r="61" spans="1:9" x14ac:dyDescent="0.25">
      <c r="A61" s="16"/>
      <c r="B61" s="21"/>
      <c r="C61" s="22"/>
      <c r="D61" s="23"/>
      <c r="E61" s="22"/>
      <c r="F61" s="23"/>
      <c r="G61" s="22"/>
      <c r="H61" s="23"/>
      <c r="I61" s="24"/>
    </row>
    <row r="62" spans="1:9" x14ac:dyDescent="0.25">
      <c r="A62" s="16"/>
      <c r="B62" s="21"/>
      <c r="C62" s="24"/>
      <c r="D62" s="23"/>
      <c r="E62" s="22"/>
      <c r="F62" s="23"/>
      <c r="G62" s="24"/>
      <c r="H62" s="23"/>
      <c r="I62" s="22"/>
    </row>
    <row r="63" spans="1:9" x14ac:dyDescent="0.25">
      <c r="A63" s="16"/>
      <c r="B63" s="23"/>
      <c r="C63" s="22"/>
      <c r="D63" s="23"/>
      <c r="E63" s="22"/>
      <c r="F63" s="23"/>
      <c r="G63" s="22"/>
      <c r="H63" s="23"/>
      <c r="I63" s="22"/>
    </row>
    <row r="64" spans="1:9" x14ac:dyDescent="0.25">
      <c r="A64" s="16"/>
      <c r="B64" s="21"/>
      <c r="C64" s="22"/>
      <c r="D64" s="23"/>
      <c r="E64" s="22"/>
      <c r="F64" s="23"/>
      <c r="G64" s="22"/>
      <c r="H64" s="23"/>
      <c r="I64" s="24"/>
    </row>
    <row r="65" spans="1:9" x14ac:dyDescent="0.25">
      <c r="A65" s="16"/>
      <c r="B65" s="21"/>
      <c r="C65" s="22"/>
      <c r="D65" s="23"/>
      <c r="E65" s="22"/>
      <c r="F65" s="23"/>
      <c r="G65" s="22"/>
      <c r="H65" s="23"/>
      <c r="I65" s="24"/>
    </row>
    <row r="66" spans="1:9" x14ac:dyDescent="0.25">
      <c r="A66" s="16"/>
      <c r="B66" s="21"/>
      <c r="C66" s="22"/>
      <c r="D66" s="23"/>
      <c r="E66" s="24"/>
      <c r="F66" s="23"/>
      <c r="G66" s="22"/>
      <c r="H66" s="21"/>
      <c r="I66" s="24"/>
    </row>
    <row r="67" spans="1:9" x14ac:dyDescent="0.25">
      <c r="A67" s="16"/>
      <c r="B67" s="21"/>
      <c r="C67" s="22"/>
      <c r="D67" s="23"/>
      <c r="E67" s="22"/>
      <c r="F67" s="23"/>
      <c r="G67" s="22"/>
      <c r="H67" s="23"/>
      <c r="I67" s="24"/>
    </row>
    <row r="68" spans="1:9" x14ac:dyDescent="0.25">
      <c r="A68" s="16"/>
      <c r="B68" s="21"/>
      <c r="C68" s="22"/>
      <c r="D68" s="23"/>
      <c r="E68" s="22"/>
      <c r="F68" s="23"/>
      <c r="G68" s="22"/>
      <c r="H68" s="23"/>
      <c r="I68" s="24"/>
    </row>
    <row r="69" spans="1:9" x14ac:dyDescent="0.25">
      <c r="A69" s="16"/>
      <c r="B69" s="21"/>
      <c r="C69" s="24"/>
      <c r="D69" s="23"/>
      <c r="E69" s="22"/>
      <c r="F69" s="23"/>
      <c r="G69" s="22"/>
      <c r="H69" s="23"/>
      <c r="I69" s="22"/>
    </row>
    <row r="70" spans="1:9" x14ac:dyDescent="0.25">
      <c r="A70" s="16"/>
      <c r="B70" s="21"/>
      <c r="C70" s="22"/>
      <c r="D70" s="23"/>
      <c r="E70" s="22"/>
      <c r="F70" s="23"/>
      <c r="G70" s="22"/>
      <c r="H70" s="23"/>
      <c r="I70" s="24"/>
    </row>
    <row r="71" spans="1:9" x14ac:dyDescent="0.25">
      <c r="A71" s="16"/>
      <c r="B71" s="21"/>
      <c r="C71" s="22"/>
      <c r="D71" s="23"/>
      <c r="E71" s="22"/>
      <c r="F71" s="23"/>
      <c r="G71" s="24"/>
      <c r="H71" s="23"/>
      <c r="I71" s="22"/>
    </row>
    <row r="72" spans="1:9" x14ac:dyDescent="0.25">
      <c r="A72" s="16"/>
      <c r="B72" s="21"/>
      <c r="C72" s="22"/>
      <c r="D72" s="23"/>
      <c r="E72" s="22"/>
      <c r="F72" s="23"/>
      <c r="G72" s="22"/>
      <c r="H72" s="23"/>
      <c r="I72" s="24"/>
    </row>
    <row r="73" spans="1:9" x14ac:dyDescent="0.25">
      <c r="A73" s="16"/>
      <c r="B73" s="21"/>
      <c r="C73" s="24"/>
      <c r="D73" s="23"/>
      <c r="E73" s="22"/>
      <c r="F73" s="23"/>
      <c r="G73" s="22"/>
      <c r="H73" s="23"/>
      <c r="I73" s="22"/>
    </row>
    <row r="74" spans="1:9" x14ac:dyDescent="0.25">
      <c r="A74" s="16"/>
      <c r="B74" s="21"/>
      <c r="C74" s="22"/>
      <c r="D74" s="23"/>
      <c r="E74" s="22"/>
      <c r="F74" s="23"/>
      <c r="G74" s="24"/>
      <c r="H74" s="23"/>
      <c r="I74" s="22"/>
    </row>
    <row r="75" spans="1:9" x14ac:dyDescent="0.25">
      <c r="A75" s="16"/>
      <c r="B75" s="21"/>
      <c r="C75" s="22"/>
      <c r="D75" s="23"/>
      <c r="E75" s="22"/>
      <c r="F75" s="23"/>
      <c r="G75" s="22"/>
      <c r="H75" s="23"/>
      <c r="I75" s="24"/>
    </row>
    <row r="76" spans="1:9" x14ac:dyDescent="0.25">
      <c r="A76" s="16"/>
      <c r="B76" s="21"/>
      <c r="C76" s="22"/>
      <c r="D76" s="23"/>
      <c r="E76" s="22"/>
      <c r="F76" s="23"/>
      <c r="G76" s="22"/>
      <c r="H76" s="23"/>
      <c r="I76" s="24"/>
    </row>
    <row r="77" spans="1:9" x14ac:dyDescent="0.25">
      <c r="A77" s="16"/>
      <c r="B77" s="23"/>
      <c r="C77" s="22"/>
      <c r="D77" s="23"/>
      <c r="E77" s="22"/>
      <c r="F77" s="23"/>
      <c r="G77" s="22"/>
      <c r="H77" s="23"/>
      <c r="I77" s="22"/>
    </row>
    <row r="78" spans="1:9" x14ac:dyDescent="0.25">
      <c r="A78" s="16"/>
      <c r="B78" s="21"/>
      <c r="C78" s="22"/>
      <c r="D78" s="23"/>
      <c r="E78" s="22"/>
      <c r="F78" s="23"/>
      <c r="G78" s="22"/>
      <c r="H78" s="23"/>
      <c r="I78" s="24"/>
    </row>
    <row r="79" spans="1:9" x14ac:dyDescent="0.25">
      <c r="A79" s="16"/>
      <c r="B79" s="21"/>
      <c r="C79" s="22"/>
      <c r="D79" s="23"/>
      <c r="E79" s="22"/>
      <c r="F79" s="23"/>
      <c r="G79" s="22"/>
      <c r="H79" s="23"/>
      <c r="I79" s="24"/>
    </row>
    <row r="80" spans="1:9" x14ac:dyDescent="0.25">
      <c r="A80" s="16"/>
      <c r="B80" s="21"/>
      <c r="C80" s="24"/>
      <c r="D80" s="23"/>
      <c r="E80" s="22"/>
      <c r="F80" s="23"/>
      <c r="G80" s="24"/>
      <c r="H80" s="23"/>
      <c r="I80" s="22"/>
    </row>
    <row r="81" spans="1:9" x14ac:dyDescent="0.25">
      <c r="A81" s="16"/>
      <c r="B81" s="21"/>
      <c r="C81" s="22"/>
      <c r="D81" s="23"/>
      <c r="E81" s="22"/>
      <c r="F81" s="23"/>
      <c r="G81" s="22"/>
      <c r="H81" s="23"/>
      <c r="I81" s="24"/>
    </row>
    <row r="82" spans="1:9" x14ac:dyDescent="0.25">
      <c r="A82" s="16"/>
      <c r="B82" s="21"/>
      <c r="C82" s="22"/>
      <c r="D82" s="23"/>
      <c r="E82" s="22"/>
      <c r="F82" s="23"/>
      <c r="G82" s="24"/>
      <c r="H82" s="23"/>
      <c r="I82" s="22"/>
    </row>
    <row r="83" spans="1:9" x14ac:dyDescent="0.25">
      <c r="A83" s="16"/>
      <c r="B83" s="21"/>
      <c r="C83" s="22"/>
      <c r="D83" s="23"/>
      <c r="E83" s="24"/>
      <c r="F83" s="23"/>
      <c r="G83" s="22"/>
      <c r="H83" s="23"/>
      <c r="I83" s="22"/>
    </row>
    <row r="84" spans="1:9" x14ac:dyDescent="0.25">
      <c r="A84" s="16"/>
      <c r="B84" s="21"/>
      <c r="C84" s="22"/>
      <c r="D84" s="23"/>
      <c r="E84" s="22"/>
      <c r="F84" s="23"/>
      <c r="G84" s="22"/>
      <c r="H84" s="23"/>
      <c r="I84" s="24"/>
    </row>
    <row r="85" spans="1:9" x14ac:dyDescent="0.25">
      <c r="A85" s="16"/>
      <c r="B85" s="21"/>
      <c r="C85" s="22"/>
      <c r="D85" s="23"/>
      <c r="E85" s="22"/>
      <c r="F85" s="23"/>
      <c r="G85" s="22"/>
      <c r="H85" s="23"/>
      <c r="I85" s="24"/>
    </row>
    <row r="86" spans="1:9" x14ac:dyDescent="0.25">
      <c r="A86" s="16"/>
      <c r="B86" s="21"/>
      <c r="C86" s="24"/>
      <c r="D86" s="23"/>
      <c r="E86" s="22"/>
      <c r="F86" s="23"/>
      <c r="G86" s="22"/>
      <c r="H86" s="23"/>
      <c r="I86" s="22"/>
    </row>
    <row r="87" spans="1:9" x14ac:dyDescent="0.25">
      <c r="A87" s="16"/>
      <c r="B87" s="21"/>
      <c r="C87" s="22"/>
      <c r="D87" s="23"/>
      <c r="E87" s="22"/>
      <c r="F87" s="23"/>
      <c r="G87" s="22"/>
      <c r="H87" s="23"/>
      <c r="I87" s="24"/>
    </row>
    <row r="88" spans="1:9" x14ac:dyDescent="0.25">
      <c r="A88" s="16"/>
      <c r="B88" s="21"/>
      <c r="C88" s="22"/>
      <c r="D88" s="23"/>
      <c r="E88" s="22"/>
      <c r="F88" s="23"/>
      <c r="G88" s="22"/>
      <c r="H88" s="23"/>
      <c r="I88" s="24"/>
    </row>
    <row r="89" spans="1:9" x14ac:dyDescent="0.25">
      <c r="A89" s="16"/>
      <c r="B89" s="21"/>
      <c r="C89" s="22"/>
      <c r="D89" s="21"/>
      <c r="E89" s="22"/>
      <c r="F89" s="23"/>
      <c r="G89" s="22"/>
      <c r="H89" s="23"/>
      <c r="I89" s="24"/>
    </row>
    <row r="90" spans="1:9" x14ac:dyDescent="0.25">
      <c r="A90" s="16"/>
      <c r="B90" s="21"/>
      <c r="C90" s="24"/>
      <c r="D90" s="23"/>
      <c r="E90" s="22"/>
      <c r="F90" s="23"/>
      <c r="G90" s="22"/>
      <c r="H90" s="23"/>
      <c r="I90" s="22"/>
    </row>
    <row r="91" spans="1:9" x14ac:dyDescent="0.25">
      <c r="A91" s="16"/>
      <c r="B91" s="21"/>
      <c r="C91" s="22"/>
      <c r="D91" s="23"/>
      <c r="E91" s="22"/>
      <c r="F91" s="23"/>
      <c r="G91" s="22"/>
      <c r="H91" s="23"/>
      <c r="I91" s="24"/>
    </row>
    <row r="92" spans="1:9" x14ac:dyDescent="0.25">
      <c r="A92" s="16"/>
      <c r="B92" s="21"/>
      <c r="C92" s="22"/>
      <c r="D92" s="23"/>
      <c r="E92" s="24"/>
      <c r="F92" s="23"/>
      <c r="G92" s="22"/>
      <c r="H92" s="23"/>
      <c r="I92" s="24"/>
    </row>
    <row r="93" spans="1:9" x14ac:dyDescent="0.25">
      <c r="A93" s="16"/>
      <c r="B93" s="21"/>
      <c r="C93" s="22"/>
      <c r="D93" s="21"/>
      <c r="E93" s="22"/>
      <c r="F93" s="23"/>
      <c r="G93" s="22"/>
      <c r="H93" s="23"/>
      <c r="I93" s="24"/>
    </row>
    <row r="94" spans="1:9" x14ac:dyDescent="0.25">
      <c r="A94" s="16"/>
      <c r="B94" s="21"/>
      <c r="C94" s="22"/>
      <c r="D94" s="23"/>
      <c r="E94" s="24"/>
      <c r="F94" s="23"/>
      <c r="G94" s="22"/>
      <c r="H94" s="23"/>
      <c r="I94" s="22"/>
    </row>
    <row r="95" spans="1:9" x14ac:dyDescent="0.25">
      <c r="A95" s="16"/>
      <c r="B95" s="21"/>
      <c r="C95" s="22"/>
      <c r="D95" s="23"/>
      <c r="E95" s="22"/>
      <c r="F95" s="23"/>
      <c r="G95" s="22"/>
      <c r="H95" s="23"/>
      <c r="I95" s="24"/>
    </row>
    <row r="96" spans="1:9" x14ac:dyDescent="0.25">
      <c r="A96" s="16"/>
      <c r="B96" s="21"/>
      <c r="C96" s="24"/>
      <c r="D96" s="23"/>
      <c r="E96" s="22"/>
      <c r="F96" s="23"/>
      <c r="G96" s="22"/>
      <c r="H96" s="23"/>
      <c r="I96" s="22"/>
    </row>
    <row r="97" spans="1:9" x14ac:dyDescent="0.25">
      <c r="A97" s="16"/>
      <c r="B97" s="21"/>
      <c r="C97" s="22"/>
      <c r="D97" s="23"/>
      <c r="E97" s="22"/>
      <c r="F97" s="23"/>
      <c r="G97" s="24"/>
      <c r="H97" s="23"/>
      <c r="I97" s="22"/>
    </row>
    <row r="98" spans="1:9" x14ac:dyDescent="0.25">
      <c r="A98" s="16"/>
      <c r="B98" s="21"/>
      <c r="C98" s="22"/>
      <c r="D98" s="23"/>
      <c r="E98" s="22"/>
      <c r="F98" s="23"/>
      <c r="G98" s="22"/>
      <c r="H98" s="21"/>
      <c r="I98" s="22"/>
    </row>
    <row r="99" spans="1:9" x14ac:dyDescent="0.25">
      <c r="A99" s="16"/>
      <c r="B99" s="21"/>
      <c r="C99" s="22"/>
      <c r="D99" s="23"/>
      <c r="E99" s="22"/>
      <c r="F99" s="23"/>
      <c r="G99" s="22"/>
      <c r="H99" s="23"/>
      <c r="I99" s="24"/>
    </row>
    <row r="100" spans="1:9" x14ac:dyDescent="0.25">
      <c r="A100" s="16"/>
      <c r="B100" s="21"/>
      <c r="C100" s="24"/>
      <c r="D100" s="23"/>
      <c r="E100" s="22"/>
      <c r="F100" s="23"/>
      <c r="G100" s="22"/>
      <c r="H100" s="23"/>
      <c r="I100" s="22"/>
    </row>
    <row r="101" spans="1:9" x14ac:dyDescent="0.25">
      <c r="A101" s="16"/>
      <c r="B101" s="21"/>
      <c r="C101" s="22"/>
      <c r="D101" s="23"/>
      <c r="E101" s="22"/>
      <c r="F101" s="23"/>
      <c r="G101" s="24"/>
      <c r="H101" s="23"/>
      <c r="I101" s="24"/>
    </row>
    <row r="102" spans="1:9" x14ac:dyDescent="0.25">
      <c r="A102" s="16"/>
      <c r="B102" s="21"/>
      <c r="C102" s="22"/>
      <c r="D102" s="23"/>
      <c r="E102" s="22"/>
      <c r="F102" s="23"/>
      <c r="G102" s="22"/>
      <c r="H102" s="23"/>
      <c r="I102" s="24"/>
    </row>
    <row r="103" spans="1:9" x14ac:dyDescent="0.25">
      <c r="A103" s="16"/>
      <c r="B103" s="21"/>
      <c r="C103" s="22"/>
      <c r="D103" s="23"/>
      <c r="E103" s="22"/>
      <c r="F103" s="23"/>
      <c r="G103" s="22"/>
      <c r="H103" s="23"/>
      <c r="I103" s="24"/>
    </row>
    <row r="104" spans="1:9" x14ac:dyDescent="0.25">
      <c r="A104" s="16"/>
      <c r="B104" s="21"/>
      <c r="C104" s="22"/>
      <c r="D104" s="23"/>
      <c r="E104" s="22"/>
      <c r="F104" s="23"/>
      <c r="G104" s="22"/>
      <c r="H104" s="23"/>
      <c r="I104" s="24"/>
    </row>
    <row r="105" spans="1:9" x14ac:dyDescent="0.25">
      <c r="A105" s="16"/>
      <c r="B105" s="21"/>
      <c r="C105" s="22"/>
      <c r="D105" s="23"/>
      <c r="E105" s="22"/>
      <c r="F105" s="23"/>
      <c r="G105" s="22"/>
      <c r="H105" s="23"/>
      <c r="I105" s="24"/>
    </row>
    <row r="106" spans="1:9" x14ac:dyDescent="0.25">
      <c r="A106" s="16"/>
      <c r="B106" s="21"/>
      <c r="C106" s="22"/>
      <c r="D106" s="23"/>
      <c r="E106" s="22"/>
      <c r="F106" s="21"/>
      <c r="G106" s="22"/>
      <c r="H106" s="23"/>
      <c r="I106" s="24"/>
    </row>
    <row r="107" spans="1:9" x14ac:dyDescent="0.25">
      <c r="A107" s="16"/>
      <c r="B107" s="21"/>
      <c r="C107" s="22"/>
      <c r="D107" s="23"/>
      <c r="E107" s="22"/>
      <c r="F107" s="23"/>
      <c r="G107" s="22"/>
      <c r="H107" s="23"/>
      <c r="I107" s="24"/>
    </row>
    <row r="108" spans="1:9" x14ac:dyDescent="0.25">
      <c r="A108" s="16"/>
      <c r="B108" s="21"/>
      <c r="C108" s="22"/>
      <c r="D108" s="23"/>
      <c r="E108" s="22"/>
      <c r="F108" s="21"/>
      <c r="G108" s="22"/>
      <c r="H108" s="23"/>
      <c r="I108" s="22"/>
    </row>
    <row r="109" spans="1:9" x14ac:dyDescent="0.25">
      <c r="A109" s="16"/>
      <c r="B109" s="21"/>
      <c r="C109" s="22"/>
      <c r="D109" s="23"/>
      <c r="E109" s="22"/>
      <c r="F109" s="23"/>
      <c r="G109" s="22"/>
      <c r="H109" s="23"/>
      <c r="I109" s="24"/>
    </row>
    <row r="110" spans="1:9" x14ac:dyDescent="0.25">
      <c r="A110" s="16"/>
      <c r="B110" s="21"/>
      <c r="C110" s="22"/>
      <c r="D110" s="23"/>
      <c r="E110" s="22"/>
      <c r="F110" s="23"/>
      <c r="G110" s="22"/>
      <c r="H110" s="23"/>
      <c r="I110" s="24"/>
    </row>
    <row r="111" spans="1:9" x14ac:dyDescent="0.25">
      <c r="A111" s="16"/>
      <c r="B111" s="21"/>
      <c r="C111" s="24"/>
      <c r="D111" s="21"/>
      <c r="E111" s="22"/>
      <c r="F111" s="21"/>
      <c r="G111" s="22"/>
      <c r="H111" s="21"/>
      <c r="I111" s="24"/>
    </row>
    <row r="112" spans="1:9" x14ac:dyDescent="0.25">
      <c r="A112" s="16"/>
      <c r="B112" s="21"/>
      <c r="C112" s="22"/>
      <c r="D112" s="23"/>
      <c r="E112" s="22"/>
      <c r="F112" s="23"/>
      <c r="G112" s="22"/>
      <c r="H112" s="23"/>
      <c r="I112" s="24"/>
    </row>
    <row r="113" spans="1:9" x14ac:dyDescent="0.25">
      <c r="A113" s="16"/>
      <c r="B113" s="21"/>
      <c r="C113" s="22"/>
      <c r="D113" s="23"/>
      <c r="E113" s="22"/>
      <c r="F113" s="21"/>
      <c r="G113" s="24"/>
      <c r="H113" s="21"/>
      <c r="I113" s="24"/>
    </row>
    <row r="114" spans="1:9" x14ac:dyDescent="0.25">
      <c r="A114" s="16"/>
      <c r="B114" s="21"/>
      <c r="C114" s="22"/>
      <c r="D114" s="21"/>
      <c r="E114" s="22"/>
      <c r="F114" s="23"/>
      <c r="G114" s="22"/>
      <c r="H114" s="23"/>
      <c r="I114" s="22"/>
    </row>
    <row r="115" spans="1:9" x14ac:dyDescent="0.25">
      <c r="A115" s="16"/>
      <c r="B115" s="21"/>
      <c r="C115" s="22"/>
      <c r="D115" s="23"/>
      <c r="E115" s="22"/>
      <c r="F115" s="23"/>
      <c r="G115" s="22"/>
      <c r="H115" s="23"/>
      <c r="I115" s="24"/>
    </row>
    <row r="116" spans="1:9" x14ac:dyDescent="0.25">
      <c r="A116" s="16"/>
      <c r="B116" s="21"/>
      <c r="C116" s="22"/>
      <c r="D116" s="23"/>
      <c r="E116" s="22"/>
      <c r="F116" s="23"/>
      <c r="G116" s="22"/>
      <c r="H116" s="23"/>
      <c r="I116" s="24"/>
    </row>
    <row r="117" spans="1:9" x14ac:dyDescent="0.25">
      <c r="A117" s="16"/>
      <c r="B117" s="21"/>
      <c r="C117" s="22"/>
      <c r="D117" s="23"/>
      <c r="E117" s="22"/>
      <c r="F117" s="23"/>
      <c r="G117" s="24"/>
      <c r="H117" s="23"/>
      <c r="I117" s="24"/>
    </row>
    <row r="118" spans="1:9" x14ac:dyDescent="0.25">
      <c r="A118" s="16"/>
      <c r="B118" s="21"/>
      <c r="C118" s="24"/>
      <c r="D118" s="23"/>
      <c r="E118" s="22"/>
      <c r="F118" s="23"/>
      <c r="G118" s="22"/>
      <c r="H118" s="23"/>
      <c r="I118" s="22"/>
    </row>
    <row r="119" spans="1:9" x14ac:dyDescent="0.25">
      <c r="A119" s="16"/>
      <c r="B119" s="21"/>
      <c r="C119" s="22"/>
      <c r="D119" s="23"/>
      <c r="E119" s="22"/>
      <c r="F119" s="23"/>
      <c r="G119" s="22"/>
      <c r="H119" s="23"/>
      <c r="I119" s="24"/>
    </row>
    <row r="120" spans="1:9" x14ac:dyDescent="0.25">
      <c r="A120" s="16"/>
      <c r="B120" s="21"/>
      <c r="C120" s="22"/>
      <c r="D120" s="23"/>
      <c r="E120" s="22"/>
      <c r="F120" s="23"/>
      <c r="G120" s="22"/>
      <c r="H120" s="21"/>
      <c r="I120" s="22"/>
    </row>
    <row r="121" spans="1:9" x14ac:dyDescent="0.25">
      <c r="A121" s="16"/>
      <c r="B121" s="21"/>
      <c r="C121" s="22"/>
      <c r="D121" s="23"/>
      <c r="E121" s="22"/>
      <c r="F121" s="23"/>
      <c r="G121" s="22"/>
      <c r="H121" s="23"/>
      <c r="I121" s="24"/>
    </row>
    <row r="122" spans="1:9" x14ac:dyDescent="0.25">
      <c r="A122" s="16"/>
      <c r="B122" s="21"/>
      <c r="C122" s="22"/>
      <c r="D122" s="23"/>
      <c r="E122" s="22"/>
      <c r="F122" s="23"/>
      <c r="G122" s="22"/>
      <c r="H122" s="23"/>
      <c r="I122" s="24"/>
    </row>
    <row r="123" spans="1:9" x14ac:dyDescent="0.25">
      <c r="A123" s="16"/>
      <c r="B123" s="21"/>
      <c r="C123" s="22"/>
      <c r="D123" s="23"/>
      <c r="E123" s="22"/>
      <c r="F123" s="23"/>
      <c r="G123" s="22"/>
      <c r="H123" s="21"/>
      <c r="I123" s="22"/>
    </row>
    <row r="124" spans="1:9" x14ac:dyDescent="0.25">
      <c r="A124" s="16"/>
      <c r="B124" s="21"/>
      <c r="C124" s="22"/>
      <c r="D124" s="23"/>
      <c r="E124" s="22"/>
      <c r="F124" s="23"/>
      <c r="G124" s="22"/>
      <c r="H124" s="23"/>
      <c r="I124" s="24"/>
    </row>
    <row r="125" spans="1:9" x14ac:dyDescent="0.25">
      <c r="A125" s="16"/>
      <c r="B125" s="21"/>
      <c r="C125" s="22"/>
      <c r="D125" s="23"/>
      <c r="E125" s="22"/>
      <c r="F125" s="23"/>
      <c r="G125" s="22"/>
      <c r="H125" s="23"/>
      <c r="I125" s="24"/>
    </row>
    <row r="126" spans="1:9" x14ac:dyDescent="0.25">
      <c r="A126" s="16"/>
      <c r="B126" s="21"/>
      <c r="C126" s="22"/>
      <c r="D126" s="23"/>
      <c r="E126" s="22"/>
      <c r="F126" s="23"/>
      <c r="G126" s="22"/>
      <c r="H126" s="23"/>
      <c r="I126" s="24"/>
    </row>
    <row r="127" spans="1:9" x14ac:dyDescent="0.25">
      <c r="A127" s="16"/>
      <c r="B127" s="21"/>
      <c r="C127" s="22"/>
      <c r="D127" s="23"/>
      <c r="E127" s="22"/>
      <c r="F127" s="23"/>
      <c r="G127" s="22"/>
      <c r="H127" s="23"/>
      <c r="I127" s="24"/>
    </row>
    <row r="128" spans="1:9" x14ac:dyDescent="0.25">
      <c r="A128" s="16"/>
      <c r="B128" s="21"/>
      <c r="C128" s="22"/>
      <c r="D128" s="21"/>
      <c r="E128" s="22"/>
      <c r="F128" s="23"/>
      <c r="G128" s="22"/>
      <c r="H128" s="23"/>
      <c r="I128" s="22"/>
    </row>
    <row r="129" spans="1:9" x14ac:dyDescent="0.25">
      <c r="A129" s="16"/>
      <c r="B129" s="21"/>
      <c r="C129" s="22"/>
      <c r="D129" s="23"/>
      <c r="E129" s="22"/>
      <c r="F129" s="23"/>
      <c r="G129" s="22"/>
      <c r="H129" s="23"/>
      <c r="I129" s="24"/>
    </row>
    <row r="130" spans="1:9" x14ac:dyDescent="0.25">
      <c r="A130" s="16"/>
      <c r="B130" s="21"/>
      <c r="C130" s="22"/>
      <c r="D130" s="23"/>
      <c r="E130" s="24"/>
      <c r="F130" s="23"/>
      <c r="G130" s="22"/>
      <c r="H130" s="23"/>
      <c r="I130" s="22"/>
    </row>
    <row r="131" spans="1:9" x14ac:dyDescent="0.25">
      <c r="A131" s="16"/>
      <c r="B131" s="21"/>
      <c r="C131" s="22"/>
      <c r="D131" s="23"/>
      <c r="E131" s="22"/>
      <c r="F131" s="23"/>
      <c r="G131" s="22"/>
      <c r="H131" s="23"/>
      <c r="I131" s="24"/>
    </row>
    <row r="132" spans="1:9" x14ac:dyDescent="0.25">
      <c r="A132" s="16"/>
      <c r="B132" s="23"/>
      <c r="C132" s="22"/>
      <c r="D132" s="23"/>
      <c r="E132" s="22"/>
      <c r="F132" s="23"/>
      <c r="G132" s="22"/>
      <c r="H132" s="23"/>
      <c r="I132" s="22"/>
    </row>
    <row r="133" spans="1:9" x14ac:dyDescent="0.25">
      <c r="A133" s="16"/>
      <c r="B133" s="21"/>
      <c r="C133" s="22"/>
      <c r="D133" s="23"/>
      <c r="E133" s="22"/>
      <c r="F133" s="23"/>
      <c r="G133" s="22"/>
      <c r="H133" s="23"/>
      <c r="I133" s="24"/>
    </row>
    <row r="134" spans="1:9" x14ac:dyDescent="0.25">
      <c r="A134" s="16"/>
      <c r="B134" s="21"/>
      <c r="C134" s="22"/>
      <c r="D134" s="23"/>
      <c r="E134" s="22"/>
      <c r="F134" s="23"/>
      <c r="G134" s="22"/>
      <c r="H134" s="23"/>
      <c r="I134" s="24"/>
    </row>
    <row r="135" spans="1:9" x14ac:dyDescent="0.25">
      <c r="A135" s="16"/>
      <c r="B135" s="21"/>
      <c r="C135" s="22"/>
      <c r="D135" s="23"/>
      <c r="E135" s="22"/>
      <c r="F135" s="23"/>
      <c r="G135" s="22"/>
      <c r="H135" s="23"/>
      <c r="I135" s="24"/>
    </row>
    <row r="136" spans="1:9" x14ac:dyDescent="0.25">
      <c r="A136" s="16"/>
      <c r="B136" s="21"/>
      <c r="C136" s="22"/>
      <c r="D136" s="23"/>
      <c r="E136" s="24"/>
      <c r="F136" s="23"/>
      <c r="G136" s="22"/>
      <c r="H136" s="23"/>
      <c r="I136" s="22"/>
    </row>
    <row r="137" spans="1:9" x14ac:dyDescent="0.25">
      <c r="A137" s="16"/>
      <c r="B137" s="21"/>
      <c r="C137" s="22"/>
      <c r="D137" s="23"/>
      <c r="E137" s="24"/>
      <c r="F137" s="23"/>
      <c r="G137" s="22"/>
      <c r="H137" s="21"/>
      <c r="I137" s="24"/>
    </row>
    <row r="138" spans="1:9" x14ac:dyDescent="0.25">
      <c r="A138" s="16"/>
      <c r="B138" s="21"/>
      <c r="C138" s="22"/>
      <c r="D138" s="23"/>
      <c r="E138" s="22"/>
      <c r="F138" s="23"/>
      <c r="G138" s="22"/>
      <c r="H138" s="23"/>
      <c r="I138" s="24"/>
    </row>
    <row r="139" spans="1:9" x14ac:dyDescent="0.25">
      <c r="A139" s="16"/>
      <c r="B139" s="21"/>
      <c r="C139" s="22"/>
      <c r="D139" s="23"/>
      <c r="E139" s="22"/>
      <c r="F139" s="21"/>
      <c r="G139" s="22"/>
      <c r="H139" s="23"/>
      <c r="I139" s="24"/>
    </row>
    <row r="140" spans="1:9" x14ac:dyDescent="0.25">
      <c r="A140" s="16"/>
      <c r="B140" s="21"/>
      <c r="C140" s="22"/>
      <c r="D140" s="21"/>
      <c r="E140" s="22"/>
      <c r="F140" s="23"/>
      <c r="G140" s="22"/>
      <c r="H140" s="23"/>
      <c r="I140" s="24"/>
    </row>
    <row r="141" spans="1:9" x14ac:dyDescent="0.25">
      <c r="A141" s="16"/>
      <c r="B141" s="21"/>
      <c r="C141" s="22"/>
      <c r="D141" s="23"/>
      <c r="E141" s="22"/>
      <c r="F141" s="23"/>
      <c r="G141" s="22"/>
      <c r="H141" s="23"/>
      <c r="I141" s="24"/>
    </row>
    <row r="142" spans="1:9" x14ac:dyDescent="0.25">
      <c r="A142" s="16"/>
      <c r="B142" s="21"/>
      <c r="C142" s="24"/>
      <c r="D142" s="23"/>
      <c r="E142" s="22"/>
      <c r="F142" s="23"/>
      <c r="G142" s="22"/>
      <c r="H142" s="23"/>
      <c r="I142" s="22"/>
    </row>
    <row r="143" spans="1:9" x14ac:dyDescent="0.25">
      <c r="A143" s="16"/>
      <c r="B143" s="21"/>
      <c r="C143" s="22"/>
      <c r="D143" s="23"/>
      <c r="E143" s="22"/>
      <c r="F143" s="23"/>
      <c r="G143" s="22"/>
      <c r="H143" s="23"/>
      <c r="I143" s="24"/>
    </row>
    <row r="144" spans="1:9" x14ac:dyDescent="0.25">
      <c r="A144" s="16"/>
      <c r="B144" s="21"/>
      <c r="C144" s="22"/>
      <c r="D144" s="23"/>
      <c r="E144" s="24"/>
      <c r="F144" s="23"/>
      <c r="G144" s="22"/>
      <c r="H144" s="23"/>
      <c r="I144" s="22"/>
    </row>
    <row r="145" spans="1:9" x14ac:dyDescent="0.25">
      <c r="A145" s="16"/>
      <c r="B145" s="21"/>
      <c r="C145" s="22"/>
      <c r="D145" s="23"/>
      <c r="E145" s="22"/>
      <c r="F145" s="23"/>
      <c r="G145" s="24"/>
      <c r="H145" s="23"/>
      <c r="I145" s="24"/>
    </row>
    <row r="146" spans="1:9" x14ac:dyDescent="0.25">
      <c r="A146" s="16"/>
      <c r="B146" s="21"/>
      <c r="C146" s="22"/>
      <c r="D146" s="23"/>
      <c r="E146" s="22"/>
      <c r="F146" s="21"/>
      <c r="G146" s="22"/>
      <c r="H146" s="21"/>
      <c r="I146" s="22"/>
    </row>
    <row r="147" spans="1:9" x14ac:dyDescent="0.25">
      <c r="A147" s="16"/>
      <c r="B147" s="21"/>
      <c r="C147" s="22"/>
      <c r="D147" s="23"/>
      <c r="E147" s="22"/>
      <c r="F147" s="23"/>
      <c r="G147" s="22"/>
      <c r="H147" s="23"/>
      <c r="I147" s="24"/>
    </row>
    <row r="148" spans="1:9" x14ac:dyDescent="0.25">
      <c r="A148" s="16"/>
      <c r="B148" s="21"/>
      <c r="C148" s="22"/>
      <c r="D148" s="23"/>
      <c r="E148" s="22"/>
      <c r="F148" s="23"/>
      <c r="G148" s="22"/>
      <c r="H148" s="23"/>
      <c r="I148" s="24"/>
    </row>
    <row r="149" spans="1:9" x14ac:dyDescent="0.25">
      <c r="A149" s="16"/>
      <c r="B149" s="21"/>
      <c r="C149" s="22"/>
      <c r="D149" s="23"/>
      <c r="E149" s="22"/>
      <c r="F149" s="23"/>
      <c r="G149" s="22"/>
      <c r="H149" s="23"/>
      <c r="I149" s="24"/>
    </row>
    <row r="150" spans="1:9" x14ac:dyDescent="0.25">
      <c r="A150" s="16"/>
      <c r="B150" s="21"/>
      <c r="C150" s="22"/>
      <c r="D150" s="23"/>
      <c r="E150" s="22"/>
      <c r="F150" s="23"/>
      <c r="G150" s="22"/>
      <c r="H150" s="23"/>
      <c r="I150" s="24"/>
    </row>
    <row r="151" spans="1:9" x14ac:dyDescent="0.25">
      <c r="A151" s="16"/>
      <c r="B151" s="21"/>
      <c r="C151" s="22"/>
      <c r="D151" s="23"/>
      <c r="E151" s="22"/>
      <c r="F151" s="23"/>
      <c r="G151" s="22"/>
      <c r="H151" s="23"/>
      <c r="I151" s="24"/>
    </row>
    <row r="152" spans="1:9" x14ac:dyDescent="0.25">
      <c r="A152" s="16"/>
      <c r="B152" s="21"/>
      <c r="C152" s="22"/>
      <c r="D152" s="23"/>
      <c r="E152" s="22"/>
      <c r="F152" s="23"/>
      <c r="G152" s="22"/>
      <c r="H152" s="23"/>
      <c r="I152" s="24"/>
    </row>
    <row r="153" spans="1:9" x14ac:dyDescent="0.25">
      <c r="A153" s="16"/>
      <c r="B153" s="21"/>
      <c r="C153" s="22"/>
      <c r="D153" s="23"/>
      <c r="E153" s="22"/>
      <c r="F153" s="23"/>
      <c r="G153" s="22"/>
      <c r="H153" s="23"/>
      <c r="I153" s="24"/>
    </row>
    <row r="154" spans="1:9" x14ac:dyDescent="0.25">
      <c r="A154" s="16"/>
      <c r="B154" s="21"/>
      <c r="C154" s="22"/>
      <c r="D154" s="23"/>
      <c r="E154" s="22"/>
      <c r="F154" s="23"/>
      <c r="G154" s="22"/>
      <c r="H154" s="23"/>
      <c r="I154" s="24"/>
    </row>
    <row r="155" spans="1:9" x14ac:dyDescent="0.25">
      <c r="A155" s="16"/>
      <c r="B155" s="21"/>
      <c r="C155" s="22"/>
      <c r="D155" s="23"/>
      <c r="E155" s="22"/>
      <c r="F155" s="23"/>
      <c r="G155" s="22"/>
      <c r="H155" s="23"/>
      <c r="I155" s="24"/>
    </row>
    <row r="156" spans="1:9" x14ac:dyDescent="0.25">
      <c r="A156" s="16"/>
      <c r="B156" s="21"/>
      <c r="C156" s="22"/>
      <c r="D156" s="21"/>
      <c r="E156" s="22"/>
      <c r="F156" s="23"/>
      <c r="G156" s="22"/>
      <c r="H156" s="23"/>
      <c r="I156" s="22"/>
    </row>
    <row r="157" spans="1:9" x14ac:dyDescent="0.25">
      <c r="A157" s="16"/>
      <c r="B157" s="21"/>
      <c r="C157" s="22"/>
      <c r="D157" s="23"/>
      <c r="E157" s="22"/>
      <c r="F157" s="21"/>
      <c r="G157" s="22"/>
      <c r="H157" s="23"/>
      <c r="I157" s="22"/>
    </row>
    <row r="158" spans="1:9" x14ac:dyDescent="0.25">
      <c r="A158" s="16"/>
      <c r="B158" s="21"/>
      <c r="C158" s="22"/>
      <c r="D158" s="23"/>
      <c r="E158" s="22"/>
      <c r="F158" s="23"/>
      <c r="G158" s="22"/>
      <c r="H158" s="23"/>
      <c r="I158" s="24"/>
    </row>
    <row r="159" spans="1:9" x14ac:dyDescent="0.25">
      <c r="A159" s="16"/>
      <c r="B159" s="21"/>
      <c r="C159" s="22"/>
      <c r="D159" s="23"/>
      <c r="E159" s="22"/>
      <c r="F159" s="23"/>
      <c r="G159" s="24"/>
      <c r="H159" s="23"/>
      <c r="I159" s="22"/>
    </row>
    <row r="160" spans="1:9" x14ac:dyDescent="0.25">
      <c r="A160" s="16"/>
      <c r="B160" s="21"/>
      <c r="C160" s="22"/>
      <c r="D160" s="23"/>
      <c r="E160" s="22"/>
      <c r="F160" s="23"/>
      <c r="G160" s="22"/>
      <c r="H160" s="21"/>
      <c r="I160" s="22"/>
    </row>
    <row r="161" spans="1:9" x14ac:dyDescent="0.25">
      <c r="A161" s="16"/>
      <c r="B161" s="21"/>
      <c r="C161" s="22"/>
      <c r="D161" s="23"/>
      <c r="E161" s="22"/>
      <c r="F161" s="23"/>
      <c r="G161" s="22"/>
      <c r="H161" s="23"/>
      <c r="I161" s="24"/>
    </row>
    <row r="162" spans="1:9" x14ac:dyDescent="0.25">
      <c r="A162" s="16"/>
      <c r="B162" s="21"/>
      <c r="C162" s="22"/>
      <c r="D162" s="23"/>
      <c r="E162" s="22"/>
      <c r="F162" s="23"/>
      <c r="G162" s="22"/>
      <c r="H162" s="23"/>
      <c r="I162" s="24"/>
    </row>
    <row r="163" spans="1:9" x14ac:dyDescent="0.25">
      <c r="A163" s="16"/>
      <c r="B163" s="21"/>
      <c r="C163" s="22"/>
      <c r="D163" s="23"/>
      <c r="E163" s="22"/>
      <c r="F163" s="23"/>
      <c r="G163" s="22"/>
      <c r="H163" s="23"/>
      <c r="I163" s="24"/>
    </row>
    <row r="164" spans="1:9" x14ac:dyDescent="0.25">
      <c r="A164" s="16"/>
      <c r="B164" s="21"/>
      <c r="C164" s="22"/>
      <c r="D164" s="23"/>
      <c r="E164" s="22"/>
      <c r="F164" s="23"/>
      <c r="G164" s="22"/>
      <c r="H164" s="23"/>
      <c r="I164" s="24"/>
    </row>
    <row r="165" spans="1:9" x14ac:dyDescent="0.25">
      <c r="A165" s="16"/>
      <c r="B165" s="21"/>
      <c r="C165" s="22"/>
      <c r="D165" s="23"/>
      <c r="E165" s="24"/>
      <c r="F165" s="23"/>
      <c r="G165" s="22"/>
      <c r="H165" s="23"/>
      <c r="I165" s="22"/>
    </row>
    <row r="166" spans="1:9" x14ac:dyDescent="0.25">
      <c r="A166" s="16"/>
      <c r="B166" s="21"/>
      <c r="C166" s="22"/>
      <c r="D166" s="21"/>
      <c r="E166" s="24"/>
      <c r="F166" s="23"/>
      <c r="G166" s="22"/>
      <c r="H166" s="23"/>
      <c r="I166" s="24"/>
    </row>
    <row r="167" spans="1:9" x14ac:dyDescent="0.25">
      <c r="A167" s="16"/>
      <c r="B167" s="21"/>
      <c r="C167" s="22"/>
      <c r="D167" s="23"/>
      <c r="E167" s="24"/>
      <c r="F167" s="23"/>
      <c r="G167" s="22"/>
      <c r="H167" s="23"/>
      <c r="I167" s="22"/>
    </row>
    <row r="168" spans="1:9" x14ac:dyDescent="0.25">
      <c r="A168" s="16"/>
      <c r="B168" s="21"/>
      <c r="C168" s="22"/>
      <c r="D168" s="23"/>
      <c r="E168" s="24"/>
      <c r="F168" s="23"/>
      <c r="G168" s="22"/>
      <c r="H168" s="23"/>
      <c r="I168" s="22"/>
    </row>
    <row r="169" spans="1:9" x14ac:dyDescent="0.25">
      <c r="A169" s="16"/>
      <c r="B169" s="21"/>
      <c r="C169" s="22"/>
      <c r="D169" s="23"/>
      <c r="E169" s="22"/>
      <c r="F169" s="23"/>
      <c r="G169" s="22"/>
      <c r="H169" s="23"/>
      <c r="I169" s="24"/>
    </row>
    <row r="170" spans="1:9" x14ac:dyDescent="0.25">
      <c r="A170" s="16"/>
      <c r="B170" s="21"/>
      <c r="C170" s="22"/>
      <c r="D170" s="23"/>
      <c r="E170" s="22"/>
      <c r="F170" s="23"/>
      <c r="G170" s="22"/>
      <c r="H170" s="23"/>
      <c r="I170" s="24"/>
    </row>
    <row r="171" spans="1:9" x14ac:dyDescent="0.25">
      <c r="A171" s="16"/>
      <c r="B171" s="21"/>
      <c r="C171" s="22"/>
      <c r="D171" s="23"/>
      <c r="E171" s="22"/>
      <c r="F171" s="23"/>
      <c r="G171" s="22"/>
      <c r="H171" s="23"/>
      <c r="I171" s="24"/>
    </row>
    <row r="172" spans="1:9" x14ac:dyDescent="0.25">
      <c r="A172" s="16"/>
      <c r="B172" s="21"/>
      <c r="C172" s="22"/>
      <c r="D172" s="23"/>
      <c r="E172" s="22"/>
      <c r="F172" s="23"/>
      <c r="G172" s="22"/>
      <c r="H172" s="23"/>
      <c r="I172" s="24"/>
    </row>
    <row r="173" spans="1:9" x14ac:dyDescent="0.25">
      <c r="A173" s="16"/>
      <c r="B173" s="21"/>
      <c r="C173" s="22"/>
      <c r="D173" s="23"/>
      <c r="E173" s="22"/>
      <c r="F173" s="23"/>
      <c r="G173" s="22"/>
      <c r="H173" s="23"/>
      <c r="I173" s="24"/>
    </row>
    <row r="174" spans="1:9" x14ac:dyDescent="0.25">
      <c r="A174" s="16"/>
      <c r="B174" s="21"/>
      <c r="C174" s="22"/>
      <c r="D174" s="23"/>
      <c r="E174" s="22"/>
      <c r="F174" s="23"/>
      <c r="G174" s="22"/>
      <c r="H174" s="23"/>
      <c r="I174" s="24"/>
    </row>
    <row r="175" spans="1:9" x14ac:dyDescent="0.25">
      <c r="A175" s="16"/>
      <c r="B175" s="21"/>
      <c r="C175" s="22"/>
      <c r="D175" s="21"/>
      <c r="E175" s="22"/>
      <c r="F175" s="23"/>
      <c r="G175" s="22"/>
      <c r="H175" s="21"/>
      <c r="I175" s="22"/>
    </row>
    <row r="176" spans="1:9" x14ac:dyDescent="0.25">
      <c r="A176" s="25"/>
      <c r="B176" s="26"/>
      <c r="C176" s="27"/>
      <c r="D176" s="26"/>
      <c r="E176" s="27"/>
      <c r="F176" s="26"/>
      <c r="G176" s="27"/>
      <c r="H176" s="26"/>
      <c r="I176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Usha</dc:title>
  <dc:creator>TG Ishan</dc:creator>
  <cp:keywords>Usha</cp:keywords>
  <cp:lastModifiedBy>TG Ishan</cp:lastModifiedBy>
  <dcterms:created xsi:type="dcterms:W3CDTF">2026-05-12T09:40:06Z</dcterms:created>
  <dcterms:modified xsi:type="dcterms:W3CDTF">2026-08-21T06:49:05Z</dcterms:modified>
</cp:coreProperties>
</file>